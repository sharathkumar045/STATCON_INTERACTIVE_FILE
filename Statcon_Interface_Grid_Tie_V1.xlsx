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Chetan Raju\Downloads\"/>
    </mc:Choice>
  </mc:AlternateContent>
  <xr:revisionPtr revIDLastSave="0" documentId="13_ncr:1_{6C60FEE2-F49F-4448-A2EA-88ECFCE7B7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rom_Display to Inverter" sheetId="3" r:id="rId1"/>
    <sheet name="From-Inverter to Display" sheetId="4" r:id="rId2"/>
    <sheet name="Fault status bits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4" l="1"/>
  <c r="G22" i="4"/>
  <c r="F24" i="4"/>
  <c r="G24" i="4"/>
  <c r="F26" i="4"/>
  <c r="F27" i="4"/>
  <c r="F28" i="4"/>
  <c r="F29" i="4"/>
  <c r="G20" i="4"/>
  <c r="F20" i="4"/>
  <c r="G18" i="4"/>
  <c r="F18" i="4"/>
  <c r="F16" i="4"/>
  <c r="G14" i="4"/>
  <c r="F14" i="4"/>
  <c r="G12" i="4"/>
  <c r="F12" i="4"/>
  <c r="J32" i="3"/>
  <c r="I33" i="3"/>
  <c r="J33" i="3" s="1"/>
  <c r="K33" i="3" s="1"/>
  <c r="J34" i="3"/>
  <c r="I35" i="3"/>
  <c r="J35" i="3" s="1"/>
  <c r="K35" i="3" s="1"/>
  <c r="J36" i="3"/>
  <c r="I37" i="3"/>
  <c r="J37" i="3" s="1"/>
  <c r="K37" i="3" s="1"/>
  <c r="I39" i="3"/>
  <c r="J39" i="3"/>
  <c r="K39" i="3" s="1"/>
  <c r="I41" i="3"/>
  <c r="J41" i="3" s="1"/>
  <c r="K41" i="3" s="1"/>
  <c r="I43" i="3"/>
  <c r="J43" i="3" s="1"/>
  <c r="K43" i="3" s="1"/>
  <c r="I45" i="3"/>
  <c r="J45" i="3" s="1"/>
  <c r="K45" i="3" s="1"/>
  <c r="I31" i="3"/>
  <c r="J31" i="3" s="1"/>
  <c r="K31" i="3" s="1"/>
  <c r="K29" i="3"/>
  <c r="J29" i="3"/>
  <c r="J27" i="3"/>
  <c r="K27" i="3" s="1"/>
  <c r="K23" i="3"/>
  <c r="J23" i="3"/>
  <c r="K21" i="3"/>
  <c r="I19" i="3"/>
  <c r="I17" i="3"/>
  <c r="I15" i="3"/>
  <c r="J13" i="3" s="1"/>
  <c r="K13" i="3" s="1"/>
  <c r="I13" i="3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19" i="4"/>
  <c r="F17" i="4"/>
  <c r="F11" i="4"/>
  <c r="G10" i="4"/>
  <c r="F10" i="4"/>
  <c r="K49" i="3"/>
  <c r="I47" i="3"/>
  <c r="J47" i="3" s="1"/>
  <c r="K47" i="3" s="1"/>
  <c r="J19" i="3"/>
  <c r="K19" i="3" s="1"/>
  <c r="I11" i="3"/>
  <c r="J11" i="3" s="1"/>
  <c r="K11" i="3" s="1"/>
  <c r="J9" i="3"/>
  <c r="K9" i="3" s="1"/>
  <c r="J8" i="3"/>
  <c r="J7" i="3"/>
  <c r="K7" i="3" s="1"/>
  <c r="J6" i="3"/>
  <c r="J5" i="3"/>
  <c r="K5" i="3" s="1"/>
  <c r="K4" i="3"/>
</calcChain>
</file>

<file path=xl/sharedStrings.xml><?xml version="1.0" encoding="utf-8"?>
<sst xmlns="http://schemas.openxmlformats.org/spreadsheetml/2006/main" count="216" uniqueCount="142">
  <si>
    <t>Byte</t>
  </si>
  <si>
    <t>Info</t>
  </si>
  <si>
    <t>L</t>
  </si>
  <si>
    <t>H</t>
  </si>
  <si>
    <t>CRC</t>
  </si>
  <si>
    <t>Reply</t>
  </si>
  <si>
    <t>V_PV</t>
  </si>
  <si>
    <t>3939=216V</t>
  </si>
  <si>
    <t>I_PV</t>
  </si>
  <si>
    <t>4096=&gt;69A</t>
  </si>
  <si>
    <t>PV_KWH</t>
  </si>
  <si>
    <t>V_INV</t>
  </si>
  <si>
    <t>I_INV (hall sensor)</t>
  </si>
  <si>
    <t>2366=&gt; 24A</t>
  </si>
  <si>
    <t>V_Mains</t>
  </si>
  <si>
    <t>4096=&gt;420</t>
  </si>
  <si>
    <t>Inv_Load_CT</t>
  </si>
  <si>
    <t>T_Grid</t>
  </si>
  <si>
    <t>1250 =&gt; 20ms</t>
  </si>
  <si>
    <t>Fault_Status1 (refer next worksheet)</t>
  </si>
  <si>
    <t>Batt_UV, Batt_OV, PV_OV, PV_UV, Grid-OV, Grid_UV, Grid_F_out, Inv_OV, INV_UV, OP_OL, PV_OL</t>
  </si>
  <si>
    <t>Fault_Status2(refer next work sheet)</t>
  </si>
  <si>
    <t>Grid_Import_KWH</t>
  </si>
  <si>
    <t>Grid_Export_KWH</t>
  </si>
  <si>
    <t>Overload RMS current</t>
  </si>
  <si>
    <t>Display sends</t>
  </si>
  <si>
    <t>Calibration</t>
  </si>
  <si>
    <t>Settings</t>
  </si>
  <si>
    <t>Values</t>
  </si>
  <si>
    <t>Reset</t>
  </si>
  <si>
    <t>Remarks</t>
  </si>
  <si>
    <t>limits</t>
  </si>
  <si>
    <t>Default Setting</t>
  </si>
  <si>
    <t>Mul factor</t>
  </si>
  <si>
    <t>UART 16 bit Value</t>
  </si>
  <si>
    <t>hex value</t>
  </si>
  <si>
    <t>"C"</t>
  </si>
  <si>
    <t>C</t>
  </si>
  <si>
    <t>"S"</t>
  </si>
  <si>
    <t>"R"</t>
  </si>
  <si>
    <t>Offset=2048</t>
  </si>
  <si>
    <t>1638 to 2457</t>
  </si>
  <si>
    <t>V_INV_Ref</t>
  </si>
  <si>
    <t>"E"</t>
  </si>
  <si>
    <t>V_batt</t>
  </si>
  <si>
    <t>377 V</t>
  </si>
  <si>
    <t>"T"</t>
  </si>
  <si>
    <t>I_Inv</t>
  </si>
  <si>
    <t>0V</t>
  </si>
  <si>
    <t>75V</t>
  </si>
  <si>
    <t>"r"</t>
  </si>
  <si>
    <t>Vmains</t>
  </si>
  <si>
    <t>35V</t>
  </si>
  <si>
    <t>90A</t>
  </si>
  <si>
    <t>I_Inv_Full_Load</t>
  </si>
  <si>
    <t>13A</t>
  </si>
  <si>
    <t>Relay_Off_Time (put more than actual)</t>
  </si>
  <si>
    <t>ms/0.104</t>
  </si>
  <si>
    <t>Relay_On_Time (put less than actual)</t>
  </si>
  <si>
    <t>I_grid_Export_Limit</t>
  </si>
  <si>
    <t>21A</t>
  </si>
  <si>
    <t>I_grid_Import_Limit</t>
  </si>
  <si>
    <t>21A(not implimented..can impliment)</t>
  </si>
  <si>
    <t>PV_H_Cutoff</t>
  </si>
  <si>
    <t>150V</t>
  </si>
  <si>
    <t>PV_H_Cutin</t>
  </si>
  <si>
    <t>"c"</t>
  </si>
  <si>
    <t>c</t>
  </si>
  <si>
    <t>PV_L_Cutin</t>
  </si>
  <si>
    <t>PV_L_Cutoff</t>
  </si>
  <si>
    <t>I_PV_UL</t>
  </si>
  <si>
    <t>40A</t>
  </si>
  <si>
    <t>V_Mains_H_Cutoff</t>
  </si>
  <si>
    <t>377V</t>
  </si>
  <si>
    <t>V_Mains_H_Cutin</t>
  </si>
  <si>
    <t>V_Mains_L_Cutin</t>
  </si>
  <si>
    <t>V_Mains_L_Cutoff</t>
  </si>
  <si>
    <t>PV_Power limit</t>
  </si>
  <si>
    <t>10801 W</t>
  </si>
  <si>
    <t>"s"</t>
  </si>
  <si>
    <t>Display sends us a request with</t>
  </si>
  <si>
    <t>"M"</t>
  </si>
  <si>
    <t xml:space="preserve"> </t>
  </si>
  <si>
    <t>"m"</t>
  </si>
  <si>
    <t>Value sent as default</t>
  </si>
  <si>
    <t>Hex equivalent</t>
  </si>
  <si>
    <t>corresponding value</t>
  </si>
  <si>
    <t>DebugA</t>
  </si>
  <si>
    <t>Fast_debug</t>
  </si>
  <si>
    <t>DebugB</t>
  </si>
  <si>
    <t>Avg_debug</t>
  </si>
  <si>
    <t>DebugC</t>
  </si>
  <si>
    <t>Rms_Debug</t>
  </si>
  <si>
    <t>Fault_Status1</t>
  </si>
  <si>
    <t>Fault_Status2</t>
  </si>
  <si>
    <t>Bit no</t>
  </si>
  <si>
    <t>Description</t>
  </si>
  <si>
    <t>description</t>
  </si>
  <si>
    <t>PV_UV_Flag</t>
  </si>
  <si>
    <t>Batt_OV_Flag</t>
  </si>
  <si>
    <t>PV_OV_Flag</t>
  </si>
  <si>
    <t>if battery voltage &lt;cut in voltage</t>
  </si>
  <si>
    <t>Batt_UV_Alarm</t>
  </si>
  <si>
    <t>Switch_OFF_Flag</t>
  </si>
  <si>
    <t>Inv_OV_Flag</t>
  </si>
  <si>
    <t>Switch_OFF_Flag (sleep mode)</t>
  </si>
  <si>
    <t>Inv_UV_Flag</t>
  </si>
  <si>
    <t>Batt_Float_Mode_Flag</t>
  </si>
  <si>
    <t>Grid_Export_Flag</t>
  </si>
  <si>
    <t>Batt_Boost_Mode_Flag</t>
  </si>
  <si>
    <t>Grid_Import_Flag</t>
  </si>
  <si>
    <t>Batt_Equalization_Mode_Flag</t>
  </si>
  <si>
    <t>Inv_in_Off_State_Flag</t>
  </si>
  <si>
    <t>Mains_Relay_Failure</t>
  </si>
  <si>
    <t>Inv_in_Grid_State_Flag</t>
  </si>
  <si>
    <t>Mains_OV_Flag</t>
  </si>
  <si>
    <t>Inv_in_Free_Running_State_Flag</t>
  </si>
  <si>
    <t>Mains_UV_Flag</t>
  </si>
  <si>
    <t>Inv_Primary_Export_Flag</t>
  </si>
  <si>
    <t>If battery &lt; battery cutin voltage
required--------     when  inv off in batt  UV</t>
  </si>
  <si>
    <t>Batt_UV_Flag</t>
  </si>
  <si>
    <t>Inv_Primary_Import_Flag</t>
  </si>
  <si>
    <t>Inverter_Overload_Flag</t>
  </si>
  <si>
    <t>Noload Shutdown</t>
  </si>
  <si>
    <t>I_PV_Out_of_Limit_Flag</t>
  </si>
  <si>
    <t>Inverter off due to GPRS Signal</t>
  </si>
  <si>
    <t>Fan_Fail_Shut_Signal (Thermister data not available)</t>
  </si>
  <si>
    <t>Inv_Short_Circuit</t>
  </si>
  <si>
    <t>Batt_Temperature_Error_Flag(&lt; 4deg (or) &gt; 70 deg)</t>
  </si>
  <si>
    <t>Inverter overload shutdown</t>
  </si>
  <si>
    <t>Freq_Out_of_Range</t>
  </si>
  <si>
    <t>MPPT_Shut_Down_Flag</t>
  </si>
  <si>
    <t>7DA</t>
  </si>
  <si>
    <t xml:space="preserve"> z</t>
  </si>
  <si>
    <t>DC link voltage</t>
  </si>
  <si>
    <t>V_DC_H_Cutoff</t>
  </si>
  <si>
    <t>V_DC_H_Cutin</t>
  </si>
  <si>
    <t>V_DC_L_Cutin</t>
  </si>
  <si>
    <t>V_DC_L_Cutoff</t>
  </si>
  <si>
    <t>PV_KW</t>
  </si>
  <si>
    <t>Grid_KVA</t>
  </si>
  <si>
    <t>1600=&gt;390V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</si>
</sst>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</font>
    <font>
      <sz val="11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CC0000"/>
        <bgColor rgb="FFCC000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F00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/>
    <xf numFmtId="0" fontId="3" fillId="2" borderId="4" xfId="0" applyFont="1" applyFill="1" applyBorder="1" applyAlignment="1">
      <alignment horizontal="center"/>
    </xf>
    <xf numFmtId="0" fontId="3" fillId="3" borderId="4" xfId="0" applyFont="1" applyFill="1" applyBorder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5" borderId="4" xfId="0" applyFont="1" applyFill="1" applyBorder="1"/>
    <xf numFmtId="0" fontId="3" fillId="0" borderId="4" xfId="0" applyFont="1" applyBorder="1"/>
    <xf numFmtId="0" fontId="3" fillId="6" borderId="4" xfId="0" applyFont="1" applyFill="1" applyBorder="1"/>
    <xf numFmtId="0" fontId="6" fillId="3" borderId="4" xfId="0" applyFont="1" applyFill="1" applyBorder="1"/>
    <xf numFmtId="0" fontId="3" fillId="3" borderId="4" xfId="0" applyFont="1" applyFill="1" applyBorder="1" applyAlignment="1">
      <alignment wrapText="1"/>
    </xf>
    <xf numFmtId="0" fontId="3" fillId="0" borderId="4" xfId="0" applyFont="1" applyBorder="1" applyAlignment="1">
      <alignment wrapText="1"/>
    </xf>
    <xf numFmtId="0" fontId="4" fillId="0" borderId="4" xfId="0" applyFont="1" applyBorder="1"/>
    <xf numFmtId="0" fontId="6" fillId="0" borderId="4" xfId="0" applyFont="1" applyBorder="1"/>
    <xf numFmtId="0" fontId="4" fillId="3" borderId="0" xfId="0" applyFont="1" applyFill="1"/>
    <xf numFmtId="0" fontId="7" fillId="0" borderId="4" xfId="0" applyFont="1" applyBorder="1"/>
    <xf numFmtId="0" fontId="5" fillId="0" borderId="4" xfId="0" applyFont="1" applyBorder="1"/>
    <xf numFmtId="0" fontId="7" fillId="3" borderId="4" xfId="0" applyFont="1" applyFill="1" applyBorder="1"/>
    <xf numFmtId="1" fontId="3" fillId="0" borderId="4" xfId="0" applyNumberFormat="1" applyFont="1" applyBorder="1"/>
    <xf numFmtId="1" fontId="1" fillId="0" borderId="4" xfId="0" applyNumberFormat="1" applyFont="1" applyBorder="1" applyAlignment="1">
      <alignment wrapText="1"/>
    </xf>
    <xf numFmtId="1" fontId="3" fillId="0" borderId="0" xfId="0" applyNumberFormat="1" applyFont="1"/>
    <xf numFmtId="1" fontId="3" fillId="0" borderId="3" xfId="0" applyNumberFormat="1" applyFont="1" applyBorder="1"/>
    <xf numFmtId="0" fontId="3" fillId="0" borderId="4" xfId="0" applyFont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5" xfId="0" applyFont="1" applyFill="1" applyBorder="1"/>
    <xf numFmtId="0" fontId="1" fillId="0" borderId="0" xfId="0" applyFont="1" applyAlignment="1">
      <alignment horizontal="center"/>
    </xf>
    <xf numFmtId="1" fontId="6" fillId="0" borderId="4" xfId="0" applyNumberFormat="1" applyFont="1" applyBorder="1"/>
    <xf numFmtId="0" fontId="6" fillId="0" borderId="4" xfId="0" applyFont="1" applyBorder="1" applyAlignment="1">
      <alignment horizontal="center"/>
    </xf>
    <xf numFmtId="0" fontId="6" fillId="3" borderId="0" xfId="0" applyFont="1" applyFill="1" applyAlignment="1">
      <alignment horizontal="left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1" fontId="1" fillId="0" borderId="6" xfId="0" applyNumberFormat="1" applyFont="1" applyBorder="1" applyAlignment="1">
      <alignment wrapText="1"/>
    </xf>
    <xf numFmtId="0" fontId="3" fillId="4" borderId="0" xfId="0" applyFont="1" applyFill="1" applyAlignment="1">
      <alignment horizontal="center"/>
    </xf>
    <xf numFmtId="0" fontId="5" fillId="4" borderId="0" xfId="0" applyFont="1" applyFill="1" applyAlignment="1">
      <alignment vertical="center"/>
    </xf>
    <xf numFmtId="0" fontId="5" fillId="4" borderId="0" xfId="0" applyFont="1" applyFill="1"/>
    <xf numFmtId="0" fontId="5" fillId="0" borderId="0" xfId="0" applyFont="1"/>
    <xf numFmtId="1" fontId="1" fillId="0" borderId="0" xfId="0" applyNumberFormat="1" applyFont="1" applyAlignment="1">
      <alignment wrapText="1"/>
    </xf>
    <xf numFmtId="0" fontId="3" fillId="4" borderId="0" xfId="0" applyFont="1" applyFill="1"/>
    <xf numFmtId="0" fontId="4" fillId="4" borderId="0" xfId="0" applyFont="1" applyFill="1"/>
    <xf numFmtId="0" fontId="4" fillId="0" borderId="8" xfId="0" applyFont="1" applyBorder="1"/>
    <xf numFmtId="0" fontId="3" fillId="2" borderId="9" xfId="0" applyFont="1" applyFill="1" applyBorder="1"/>
    <xf numFmtId="0" fontId="3" fillId="7" borderId="9" xfId="0" applyFont="1" applyFill="1" applyBorder="1"/>
    <xf numFmtId="0" fontId="3" fillId="8" borderId="9" xfId="0" applyFont="1" applyFill="1" applyBorder="1"/>
    <xf numFmtId="0" fontId="3" fillId="7" borderId="4" xfId="0" applyFont="1" applyFill="1" applyBorder="1"/>
    <xf numFmtId="0" fontId="3" fillId="8" borderId="4" xfId="0" applyFont="1" applyFill="1" applyBorder="1"/>
    <xf numFmtId="0" fontId="7" fillId="0" borderId="0" xfId="0" applyFont="1" applyAlignment="1">
      <alignment horizontal="center"/>
    </xf>
    <xf numFmtId="18" fontId="5" fillId="0" borderId="0" xfId="0" applyNumberFormat="1" applyFont="1"/>
    <xf numFmtId="0" fontId="6" fillId="2" borderId="4" xfId="0" applyFont="1" applyFill="1" applyBorder="1" applyAlignment="1">
      <alignment horizontal="center"/>
    </xf>
    <xf numFmtId="0" fontId="3" fillId="0" borderId="0" xfId="0" applyFont="1" applyAlignment="1">
      <alignment horizontal="right"/>
    </xf>
    <xf numFmtId="0" fontId="3" fillId="9" borderId="4" xfId="0" applyFont="1" applyFill="1" applyBorder="1"/>
    <xf numFmtId="0" fontId="6" fillId="7" borderId="4" xfId="0" applyFont="1" applyFill="1" applyBorder="1"/>
    <xf numFmtId="0" fontId="0" fillId="0" borderId="0" xfId="0" applyAlignment="1">
      <alignment horizontal="center"/>
    </xf>
    <xf numFmtId="1" fontId="3" fillId="0" borderId="4" xfId="0" applyNumberFormat="1" applyFont="1" applyBorder="1" applyAlignment="1">
      <alignment horizontal="center"/>
    </xf>
    <xf numFmtId="0" fontId="5" fillId="2" borderId="6" xfId="0" applyFont="1" applyFill="1" applyBorder="1" applyAlignment="1">
      <alignment vertical="center"/>
    </xf>
    <xf numFmtId="0" fontId="3" fillId="5" borderId="6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6" xfId="0" applyFont="1" applyBorder="1"/>
    <xf numFmtId="1" fontId="3" fillId="0" borderId="6" xfId="0" applyNumberFormat="1" applyFont="1" applyBorder="1"/>
    <xf numFmtId="0" fontId="0" fillId="0" borderId="9" xfId="0" applyBorder="1"/>
    <xf numFmtId="0" fontId="3" fillId="0" borderId="9" xfId="0" applyFont="1" applyBorder="1" applyAlignment="1">
      <alignment horizontal="center"/>
    </xf>
    <xf numFmtId="0" fontId="3" fillId="0" borderId="9" xfId="0" applyFont="1" applyBorder="1"/>
    <xf numFmtId="1" fontId="3" fillId="0" borderId="9" xfId="0" applyNumberFormat="1" applyFont="1" applyBorder="1"/>
    <xf numFmtId="1" fontId="1" fillId="0" borderId="9" xfId="0" applyNumberFormat="1" applyFont="1" applyBorder="1" applyAlignment="1">
      <alignment wrapText="1"/>
    </xf>
    <xf numFmtId="0" fontId="6" fillId="0" borderId="9" xfId="0" applyFont="1" applyBorder="1"/>
    <xf numFmtId="0" fontId="6" fillId="0" borderId="9" xfId="0" applyFont="1" applyBorder="1" applyAlignment="1">
      <alignment wrapText="1"/>
    </xf>
    <xf numFmtId="0" fontId="7" fillId="0" borderId="9" xfId="0" applyFont="1" applyBorder="1"/>
    <xf numFmtId="0" fontId="5" fillId="0" borderId="9" xfId="0" applyFont="1" applyBorder="1" applyAlignment="1">
      <alignment vertical="center"/>
    </xf>
    <xf numFmtId="0" fontId="5" fillId="0" borderId="9" xfId="0" applyFont="1" applyBorder="1"/>
    <xf numFmtId="0" fontId="5" fillId="3" borderId="6" xfId="0" applyFont="1" applyFill="1" applyBorder="1"/>
    <xf numFmtId="0" fontId="4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3" fillId="5" borderId="1" xfId="0" applyFont="1" applyFill="1" applyBorder="1"/>
    <xf numFmtId="0" fontId="3" fillId="0" borderId="5" xfId="0" applyFont="1" applyBorder="1"/>
    <xf numFmtId="0" fontId="5" fillId="0" borderId="5" xfId="0" applyFont="1" applyBorder="1"/>
    <xf numFmtId="0" fontId="7" fillId="3" borderId="8" xfId="0" applyFont="1" applyFill="1" applyBorder="1"/>
    <xf numFmtId="0" fontId="4" fillId="3" borderId="11" xfId="0" applyFont="1" applyFill="1" applyBorder="1"/>
    <xf numFmtId="0" fontId="0" fillId="10" borderId="11" xfId="0" applyFill="1" applyBorder="1"/>
    <xf numFmtId="0" fontId="3" fillId="3" borderId="6" xfId="0" applyFont="1" applyFill="1" applyBorder="1" applyAlignment="1">
      <alignment wrapText="1"/>
    </xf>
    <xf numFmtId="0" fontId="3" fillId="3" borderId="11" xfId="0" applyFont="1" applyFill="1" applyBorder="1"/>
    <xf numFmtId="0" fontId="6" fillId="11" borderId="4" xfId="0" applyFont="1" applyFill="1" applyBorder="1"/>
    <xf numFmtId="0" fontId="6" fillId="11" borderId="4" xfId="0" applyFont="1" applyFill="1" applyBorder="1" applyAlignment="1">
      <alignment wrapText="1"/>
    </xf>
    <xf numFmtId="0" fontId="1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0" borderId="1" xfId="0" applyFont="1" applyBorder="1" applyAlignment="1">
      <alignment horizontal="center"/>
    </xf>
    <xf numFmtId="0" fontId="5" fillId="0" borderId="9" xfId="0" applyFont="1" applyBorder="1" applyAlignment="1">
      <alignment vertical="center"/>
    </xf>
    <xf numFmtId="0" fontId="2" fillId="0" borderId="9" xfId="0" applyFont="1" applyBorder="1"/>
    <xf numFmtId="0" fontId="5" fillId="4" borderId="0" xfId="0" applyFont="1" applyFill="1" applyAlignment="1">
      <alignment vertical="center"/>
    </xf>
    <xf numFmtId="0" fontId="0" fillId="0" borderId="0" xfId="0"/>
    <xf numFmtId="0" fontId="5" fillId="0" borderId="9" xfId="0" applyFont="1" applyBorder="1" applyAlignment="1">
      <alignment wrapText="1"/>
    </xf>
    <xf numFmtId="0" fontId="3" fillId="4" borderId="0" xfId="0" applyFont="1" applyFill="1" applyAlignment="1">
      <alignment vertical="center"/>
    </xf>
    <xf numFmtId="0" fontId="3" fillId="0" borderId="9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5" fillId="0" borderId="0" xfId="0" applyFont="1"/>
    <xf numFmtId="0" fontId="2" fillId="0" borderId="7" xfId="0" applyFont="1" applyBorder="1" applyAlignment="1"/>
    <xf numFmtId="0" fontId="2" fillId="0" borderId="8" xfId="0" applyFont="1" applyBorder="1" applyAlignment="1"/>
    <xf numFmtId="0" fontId="1" fillId="0" borderId="11" xfId="0" applyFont="1" applyBorder="1" applyAlignment="1">
      <alignment horizontal="center"/>
    </xf>
    <xf numFmtId="0" fontId="2" fillId="0" borderId="11" xfId="0" applyFont="1" applyBorder="1"/>
    <xf numFmtId="0" fontId="3" fillId="0" borderId="11" xfId="0" applyFont="1" applyBorder="1" applyAlignment="1">
      <alignment horizontal="center"/>
    </xf>
    <xf numFmtId="0" fontId="3" fillId="0" borderId="11" xfId="0" applyFont="1" applyBorder="1"/>
    <xf numFmtId="0" fontId="1" fillId="0" borderId="11" xfId="0" applyFont="1" applyBorder="1" applyAlignment="1">
      <alignment horizontal="center"/>
    </xf>
    <xf numFmtId="0" fontId="1" fillId="0" borderId="11" xfId="0" applyFont="1" applyBorder="1"/>
    <xf numFmtId="0" fontId="3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wrapText="1"/>
    </xf>
    <xf numFmtId="0" fontId="3" fillId="0" borderId="11" xfId="0" applyFont="1" applyBorder="1" applyAlignment="1">
      <alignment horizontal="center" vertical="center"/>
    </xf>
    <xf numFmtId="0" fontId="1" fillId="7" borderId="12" xfId="0" applyFont="1" applyFill="1" applyBorder="1" applyAlignment="1">
      <alignment horizontal="center"/>
    </xf>
    <xf numFmtId="0" fontId="1" fillId="7" borderId="13" xfId="0" applyFont="1" applyFill="1" applyBorder="1" applyAlignment="1">
      <alignment horizontal="center"/>
    </xf>
    <xf numFmtId="0" fontId="1" fillId="7" borderId="14" xfId="0" applyFont="1" applyFill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06"/>
  <sheetViews>
    <sheetView tabSelected="1" topLeftCell="A14" zoomScale="70" zoomScaleNormal="70" workbookViewId="0">
      <selection activeCell="C29" sqref="C29:C46"/>
    </sheetView>
  </sheetViews>
  <sheetFormatPr defaultColWidth="14.44140625" defaultRowHeight="15" customHeight="1"/>
  <cols>
    <col min="1" max="1" width="9.109375" customWidth="1"/>
    <col min="2" max="2" width="26.77734375" customWidth="1"/>
    <col min="3" max="3" width="11.5546875" customWidth="1"/>
    <col min="4" max="4" width="11.77734375" customWidth="1"/>
    <col min="5" max="5" width="8.77734375" customWidth="1"/>
    <col min="6" max="6" width="9.109375" customWidth="1"/>
    <col min="7" max="7" width="35.77734375" customWidth="1"/>
    <col min="8" max="8" width="67.109375" customWidth="1"/>
    <col min="9" max="9" width="13.21875" customWidth="1"/>
    <col min="10" max="11" width="16.77734375" customWidth="1"/>
    <col min="12" max="12" width="26.109375" customWidth="1"/>
    <col min="13" max="13" width="16.77734375" customWidth="1"/>
    <col min="14" max="17" width="8.77734375" customWidth="1"/>
  </cols>
  <sheetData>
    <row r="1" spans="1:17" ht="14.4">
      <c r="A1" s="99" t="s">
        <v>25</v>
      </c>
      <c r="B1" s="100"/>
      <c r="C1" s="100"/>
      <c r="D1" s="100"/>
      <c r="F1" s="85" t="s">
        <v>25</v>
      </c>
      <c r="G1" s="83"/>
      <c r="H1" s="83"/>
      <c r="I1" s="84"/>
      <c r="J1" s="18"/>
      <c r="K1" s="18"/>
      <c r="L1" s="19"/>
      <c r="M1" s="20"/>
      <c r="N1" s="85" t="s">
        <v>25</v>
      </c>
      <c r="O1" s="83"/>
      <c r="P1" s="83"/>
      <c r="Q1" s="84"/>
    </row>
    <row r="2" spans="1:17" ht="14.4">
      <c r="A2" s="99" t="s">
        <v>26</v>
      </c>
      <c r="B2" s="100"/>
      <c r="C2" s="100"/>
      <c r="D2" s="100"/>
      <c r="F2" s="85" t="s">
        <v>27</v>
      </c>
      <c r="G2" s="83"/>
      <c r="H2" s="83"/>
      <c r="I2" s="84"/>
      <c r="J2" s="18" t="s">
        <v>28</v>
      </c>
      <c r="K2" s="18"/>
      <c r="L2" s="19"/>
      <c r="M2" s="21"/>
      <c r="N2" s="82" t="s">
        <v>29</v>
      </c>
      <c r="O2" s="83"/>
      <c r="P2" s="83"/>
      <c r="Q2" s="84"/>
    </row>
    <row r="3" spans="1:17" ht="14.4">
      <c r="A3" s="101" t="s">
        <v>0</v>
      </c>
      <c r="B3" s="101" t="s">
        <v>1</v>
      </c>
      <c r="C3" s="102" t="s">
        <v>30</v>
      </c>
      <c r="D3" s="103" t="s">
        <v>31</v>
      </c>
      <c r="F3" s="23" t="s">
        <v>0</v>
      </c>
      <c r="G3" s="3" t="s">
        <v>1</v>
      </c>
      <c r="H3" s="7" t="s">
        <v>32</v>
      </c>
      <c r="I3" s="7" t="s">
        <v>33</v>
      </c>
      <c r="J3" s="18" t="s">
        <v>34</v>
      </c>
      <c r="K3" s="18" t="s">
        <v>35</v>
      </c>
      <c r="L3" s="19" t="s">
        <v>31</v>
      </c>
      <c r="M3" s="21"/>
      <c r="N3" s="24" t="s">
        <v>0</v>
      </c>
      <c r="O3" s="3" t="s">
        <v>1</v>
      </c>
      <c r="P3" s="7" t="s">
        <v>30</v>
      </c>
      <c r="Q3" s="7"/>
    </row>
    <row r="4" spans="1:17" ht="14.4">
      <c r="A4" s="101">
        <v>0</v>
      </c>
      <c r="B4" s="101" t="s">
        <v>36</v>
      </c>
      <c r="C4" s="101" t="s">
        <v>37</v>
      </c>
      <c r="D4" s="104"/>
      <c r="F4" s="23">
        <v>0</v>
      </c>
      <c r="G4" s="3" t="s">
        <v>38</v>
      </c>
      <c r="H4" s="7"/>
      <c r="I4" s="7"/>
      <c r="J4" s="18"/>
      <c r="K4" s="18">
        <f>53*1</f>
        <v>53</v>
      </c>
      <c r="L4" s="19"/>
      <c r="M4" s="21"/>
      <c r="N4" s="24">
        <v>0</v>
      </c>
      <c r="O4" s="3" t="s">
        <v>39</v>
      </c>
      <c r="P4" s="7"/>
      <c r="Q4" s="7"/>
    </row>
    <row r="5" spans="1:17" ht="14.4">
      <c r="A5" s="101">
        <v>1</v>
      </c>
      <c r="B5" s="101" t="s">
        <v>11</v>
      </c>
      <c r="C5" s="105" t="s">
        <v>40</v>
      </c>
      <c r="D5" s="105" t="s">
        <v>41</v>
      </c>
      <c r="F5" s="23">
        <v>1</v>
      </c>
      <c r="G5" s="3" t="s">
        <v>42</v>
      </c>
      <c r="H5" s="22">
        <v>230</v>
      </c>
      <c r="I5" s="7">
        <v>9.75</v>
      </c>
      <c r="J5" s="18">
        <f t="shared" ref="J5:J9" si="0">H5*I5</f>
        <v>2242.5</v>
      </c>
      <c r="K5" s="18" t="str">
        <f>DEC2HEX(J5)</f>
        <v>8C2</v>
      </c>
      <c r="L5" s="19"/>
      <c r="M5" s="21"/>
      <c r="N5" s="24">
        <v>1</v>
      </c>
      <c r="O5" s="3" t="s">
        <v>43</v>
      </c>
      <c r="P5" s="7"/>
      <c r="Q5" s="7"/>
    </row>
    <row r="6" spans="1:17" ht="14.4">
      <c r="A6" s="101">
        <v>2</v>
      </c>
      <c r="B6" s="101"/>
      <c r="C6" s="105"/>
      <c r="D6" s="105"/>
      <c r="F6" s="23">
        <v>2</v>
      </c>
      <c r="G6" s="3"/>
      <c r="H6" s="22"/>
      <c r="I6" s="7"/>
      <c r="J6" s="18">
        <f t="shared" si="0"/>
        <v>0</v>
      </c>
      <c r="K6" s="18"/>
      <c r="L6" s="19"/>
      <c r="M6" s="21"/>
      <c r="N6" s="24">
        <v>2</v>
      </c>
      <c r="O6" s="3" t="s">
        <v>38</v>
      </c>
      <c r="P6" s="7"/>
      <c r="Q6" s="7"/>
    </row>
    <row r="7" spans="1:17" ht="14.4">
      <c r="A7" s="101">
        <v>3</v>
      </c>
      <c r="B7" s="101" t="s">
        <v>44</v>
      </c>
      <c r="C7" s="105"/>
      <c r="D7" s="105"/>
      <c r="F7" s="23">
        <v>3</v>
      </c>
      <c r="G7" s="3" t="s">
        <v>135</v>
      </c>
      <c r="H7" s="22">
        <v>272</v>
      </c>
      <c r="I7" s="7">
        <v>9.75</v>
      </c>
      <c r="J7" s="18">
        <f t="shared" si="0"/>
        <v>2652</v>
      </c>
      <c r="K7" s="18" t="str">
        <f>DEC2HEX(J7)</f>
        <v>A5C</v>
      </c>
      <c r="L7" s="19" t="s">
        <v>45</v>
      </c>
      <c r="M7" s="21"/>
      <c r="N7" s="24">
        <v>3</v>
      </c>
      <c r="O7" s="3" t="s">
        <v>43</v>
      </c>
      <c r="P7" s="7"/>
      <c r="Q7" s="7"/>
    </row>
    <row r="8" spans="1:17" ht="14.4">
      <c r="A8" s="101">
        <v>4</v>
      </c>
      <c r="B8" s="101"/>
      <c r="C8" s="105"/>
      <c r="D8" s="105"/>
      <c r="F8" s="23">
        <v>4</v>
      </c>
      <c r="G8" s="3"/>
      <c r="H8" s="22"/>
      <c r="I8" s="7"/>
      <c r="J8" s="18">
        <f t="shared" si="0"/>
        <v>0</v>
      </c>
      <c r="K8" s="18"/>
      <c r="L8" s="19"/>
      <c r="M8" s="21"/>
      <c r="N8" s="24">
        <v>4</v>
      </c>
      <c r="O8" s="3" t="s">
        <v>46</v>
      </c>
      <c r="P8" s="7"/>
      <c r="Q8" s="7"/>
    </row>
    <row r="9" spans="1:17" ht="14.4">
      <c r="A9" s="101">
        <v>5</v>
      </c>
      <c r="B9" s="101" t="s">
        <v>6</v>
      </c>
      <c r="C9" s="105"/>
      <c r="D9" s="105"/>
      <c r="F9" s="23">
        <v>5</v>
      </c>
      <c r="G9" s="3" t="s">
        <v>136</v>
      </c>
      <c r="H9" s="22">
        <v>168</v>
      </c>
      <c r="I9" s="7">
        <v>9.75</v>
      </c>
      <c r="J9" s="18">
        <f t="shared" si="0"/>
        <v>1638</v>
      </c>
      <c r="K9" s="18" t="str">
        <f>DEC2HEX(J9)</f>
        <v>666</v>
      </c>
      <c r="L9" s="19" t="s">
        <v>48</v>
      </c>
      <c r="M9" s="21"/>
      <c r="N9" s="24">
        <v>5</v>
      </c>
      <c r="O9" s="3" t="s">
        <v>4</v>
      </c>
      <c r="P9" s="7"/>
      <c r="Q9" s="7"/>
    </row>
    <row r="10" spans="1:17" ht="14.4">
      <c r="A10" s="101">
        <v>6</v>
      </c>
      <c r="B10" s="101"/>
      <c r="C10" s="105"/>
      <c r="D10" s="105"/>
      <c r="F10" s="23">
        <v>6</v>
      </c>
      <c r="G10" s="3"/>
      <c r="H10" s="22"/>
      <c r="I10" s="7"/>
      <c r="J10" s="18"/>
      <c r="K10" s="18"/>
      <c r="L10" s="19"/>
      <c r="M10" s="20"/>
    </row>
    <row r="11" spans="1:17" ht="14.4">
      <c r="A11" s="101">
        <v>7</v>
      </c>
      <c r="B11" s="101" t="s">
        <v>8</v>
      </c>
      <c r="C11" s="105"/>
      <c r="D11" s="105"/>
      <c r="F11" s="23">
        <v>7</v>
      </c>
      <c r="G11" s="3" t="s">
        <v>137</v>
      </c>
      <c r="H11" s="22">
        <v>70</v>
      </c>
      <c r="I11" s="7">
        <f>4097/81.5</f>
        <v>50.269938650306749</v>
      </c>
      <c r="J11" s="18">
        <f>H11*I11</f>
        <v>3518.8957055214723</v>
      </c>
      <c r="K11" s="18" t="str">
        <f>DEC2HEX(J11)</f>
        <v>DBE</v>
      </c>
      <c r="L11" s="19" t="s">
        <v>49</v>
      </c>
      <c r="M11" s="21"/>
      <c r="N11" s="24">
        <v>0</v>
      </c>
      <c r="O11" s="3" t="s">
        <v>50</v>
      </c>
      <c r="P11" s="7"/>
      <c r="Q11" s="7"/>
    </row>
    <row r="12" spans="1:17" ht="14.4">
      <c r="A12" s="101">
        <v>8</v>
      </c>
      <c r="B12" s="101"/>
      <c r="C12" s="105"/>
      <c r="D12" s="105"/>
      <c r="F12" s="23">
        <v>8</v>
      </c>
      <c r="G12" s="3"/>
      <c r="H12" s="22"/>
      <c r="I12" s="7"/>
      <c r="J12" s="18"/>
      <c r="K12" s="18"/>
      <c r="L12" s="19"/>
      <c r="M12" s="21"/>
      <c r="N12" s="24" t="s">
        <v>0</v>
      </c>
      <c r="O12" s="3" t="s">
        <v>1</v>
      </c>
      <c r="P12" s="7"/>
      <c r="Q12" s="7"/>
    </row>
    <row r="13" spans="1:17" ht="14.4">
      <c r="A13" s="101">
        <v>9</v>
      </c>
      <c r="B13" s="101" t="s">
        <v>51</v>
      </c>
      <c r="C13" s="105"/>
      <c r="D13" s="105"/>
      <c r="F13" s="23">
        <v>9</v>
      </c>
      <c r="G13" s="3" t="s">
        <v>138</v>
      </c>
      <c r="H13" s="52">
        <v>67</v>
      </c>
      <c r="I13" s="7">
        <f t="shared" ref="I13" si="1">4097/81.5</f>
        <v>50.269938650306749</v>
      </c>
      <c r="J13" s="18">
        <f>H15*I15</f>
        <v>2161.6073619631902</v>
      </c>
      <c r="K13" s="18" t="str">
        <f>DEC2HEX(J13)</f>
        <v>871</v>
      </c>
    </row>
    <row r="14" spans="1:17" ht="14.4">
      <c r="A14" s="101">
        <v>10</v>
      </c>
      <c r="B14" s="101"/>
      <c r="C14" s="105"/>
      <c r="D14" s="105"/>
      <c r="F14" s="23">
        <v>10</v>
      </c>
      <c r="G14" s="3"/>
      <c r="H14" s="22"/>
      <c r="I14" s="7"/>
      <c r="J14" s="18"/>
      <c r="K14" s="18"/>
      <c r="L14" s="19"/>
      <c r="M14" s="20"/>
    </row>
    <row r="15" spans="1:17" ht="14.4">
      <c r="A15" s="101">
        <v>11</v>
      </c>
      <c r="B15" s="101" t="s">
        <v>47</v>
      </c>
      <c r="C15" s="105"/>
      <c r="D15" s="105"/>
      <c r="F15" s="23">
        <v>11</v>
      </c>
      <c r="G15" s="3" t="s">
        <v>54</v>
      </c>
      <c r="H15" s="22">
        <v>43</v>
      </c>
      <c r="I15" s="7">
        <f>4097/81.5</f>
        <v>50.269938650306749</v>
      </c>
      <c r="J15" s="18">
        <v>0</v>
      </c>
      <c r="K15" s="18">
        <v>0</v>
      </c>
      <c r="L15" s="19"/>
      <c r="M15" s="20"/>
    </row>
    <row r="16" spans="1:17" ht="14.4">
      <c r="A16" s="101">
        <v>12</v>
      </c>
      <c r="B16" s="101"/>
      <c r="C16" s="105"/>
      <c r="D16" s="105"/>
      <c r="F16" s="23">
        <v>12</v>
      </c>
      <c r="G16" s="3"/>
      <c r="H16" s="22"/>
      <c r="I16" s="7"/>
      <c r="J16" s="18"/>
      <c r="K16" s="18"/>
      <c r="L16" s="19"/>
      <c r="M16" s="20"/>
    </row>
    <row r="17" spans="1:15" ht="14.4">
      <c r="A17" s="101">
        <v>13</v>
      </c>
      <c r="B17" s="101"/>
      <c r="C17" s="105"/>
      <c r="D17" s="105"/>
      <c r="F17" s="23">
        <v>13</v>
      </c>
      <c r="G17" s="9" t="s">
        <v>56</v>
      </c>
      <c r="H17" s="22">
        <v>40</v>
      </c>
      <c r="I17" s="7">
        <f>4097/81.5</f>
        <v>50.269938650306749</v>
      </c>
      <c r="J17" s="18">
        <v>2011</v>
      </c>
      <c r="K17" s="18" t="s">
        <v>132</v>
      </c>
      <c r="L17" s="19" t="s">
        <v>52</v>
      </c>
      <c r="M17" s="20"/>
    </row>
    <row r="18" spans="1:15" ht="14.4">
      <c r="A18" s="101">
        <v>14</v>
      </c>
      <c r="B18" s="101"/>
      <c r="C18" s="105"/>
      <c r="D18" s="105"/>
      <c r="F18" s="23">
        <v>14</v>
      </c>
      <c r="G18" s="3"/>
      <c r="H18" s="22"/>
      <c r="I18" s="7"/>
      <c r="J18" s="18"/>
      <c r="K18" s="18"/>
      <c r="L18" s="19"/>
      <c r="M18" s="20"/>
    </row>
    <row r="19" spans="1:15" ht="14.4">
      <c r="A19" s="106">
        <v>15</v>
      </c>
      <c r="B19" s="107"/>
      <c r="C19" s="105"/>
      <c r="D19" s="105"/>
      <c r="F19" s="23">
        <v>15</v>
      </c>
      <c r="G19" s="28" t="s">
        <v>58</v>
      </c>
      <c r="H19" s="22">
        <v>60</v>
      </c>
      <c r="I19" s="7">
        <f>4096/100</f>
        <v>40.96</v>
      </c>
      <c r="J19" s="18">
        <f>H21*I21</f>
        <v>936</v>
      </c>
      <c r="K19" s="18" t="str">
        <f>DEC2HEX(J19)</f>
        <v>3A8</v>
      </c>
      <c r="L19" s="19" t="s">
        <v>53</v>
      </c>
      <c r="M19" s="20"/>
    </row>
    <row r="20" spans="1:15" ht="14.4">
      <c r="A20" s="101">
        <v>16</v>
      </c>
      <c r="B20" s="102"/>
      <c r="C20" s="105"/>
      <c r="D20" s="105"/>
      <c r="F20" s="23">
        <v>16</v>
      </c>
      <c r="G20" s="3"/>
      <c r="H20" s="22"/>
      <c r="I20" s="7"/>
      <c r="J20" s="18"/>
      <c r="K20" s="18"/>
      <c r="L20" s="19"/>
      <c r="M20" s="20"/>
    </row>
    <row r="21" spans="1:15" ht="15.75" customHeight="1">
      <c r="A21" s="101">
        <v>17</v>
      </c>
      <c r="B21" s="107"/>
      <c r="C21" s="105"/>
      <c r="D21" s="105"/>
      <c r="F21" s="23">
        <v>17</v>
      </c>
      <c r="G21" s="3" t="s">
        <v>59</v>
      </c>
      <c r="H21" s="22">
        <v>13</v>
      </c>
      <c r="I21" s="13">
        <v>72</v>
      </c>
      <c r="J21" s="26">
        <v>937</v>
      </c>
      <c r="K21" s="18" t="str">
        <f>DEC2HEX(J21)</f>
        <v>3A9</v>
      </c>
      <c r="L21" s="19" t="s">
        <v>55</v>
      </c>
      <c r="M21" s="20"/>
    </row>
    <row r="22" spans="1:15" ht="15.75" customHeight="1">
      <c r="A22" s="101">
        <v>18</v>
      </c>
      <c r="B22" s="102"/>
      <c r="C22" s="105"/>
      <c r="D22" s="105"/>
      <c r="F22" s="23">
        <v>18</v>
      </c>
      <c r="G22" s="3"/>
      <c r="H22" s="22"/>
      <c r="I22" s="7"/>
      <c r="J22" s="18"/>
      <c r="K22" s="18"/>
      <c r="L22" s="19"/>
      <c r="M22" s="20"/>
    </row>
    <row r="23" spans="1:15" ht="15.75" customHeight="1">
      <c r="A23" s="101">
        <v>19</v>
      </c>
      <c r="B23" s="101" t="s">
        <v>4</v>
      </c>
      <c r="C23" s="105"/>
      <c r="D23" s="105"/>
      <c r="F23" s="23">
        <v>19</v>
      </c>
      <c r="G23" s="3" t="s">
        <v>61</v>
      </c>
      <c r="H23" s="27">
        <v>170</v>
      </c>
      <c r="I23" s="13" t="s">
        <v>57</v>
      </c>
      <c r="J23" s="18">
        <f>H23*0.104</f>
        <v>17.68</v>
      </c>
      <c r="K23" s="18" t="str">
        <f>DEC2HEX(J23)</f>
        <v>11</v>
      </c>
      <c r="L23" s="19"/>
      <c r="M23" s="20"/>
    </row>
    <row r="24" spans="1:15" ht="15.75" customHeight="1">
      <c r="A24" s="61"/>
      <c r="B24" s="61"/>
      <c r="C24" s="61"/>
      <c r="D24" s="61"/>
      <c r="F24" s="23">
        <v>20</v>
      </c>
      <c r="G24" s="3"/>
      <c r="H24" s="22"/>
      <c r="I24" s="7"/>
      <c r="J24" s="18"/>
      <c r="K24" s="18"/>
      <c r="L24" s="19"/>
      <c r="M24" s="20"/>
    </row>
    <row r="25" spans="1:15" ht="15.75" customHeight="1">
      <c r="A25" s="61"/>
      <c r="B25" s="61"/>
      <c r="C25" s="61"/>
      <c r="D25" s="61"/>
      <c r="F25" s="23">
        <v>21</v>
      </c>
      <c r="G25" s="3" t="s">
        <v>63</v>
      </c>
      <c r="H25" s="27">
        <v>160</v>
      </c>
      <c r="I25" s="13" t="s">
        <v>57</v>
      </c>
      <c r="J25" s="18">
        <v>17</v>
      </c>
      <c r="K25" s="18">
        <v>10</v>
      </c>
      <c r="L25" s="19"/>
      <c r="M25" s="20"/>
    </row>
    <row r="26" spans="1:15" ht="15.75" customHeight="1">
      <c r="A26" s="109" t="s">
        <v>5</v>
      </c>
      <c r="B26" s="110"/>
      <c r="C26" s="110"/>
      <c r="D26" s="111"/>
      <c r="F26" s="23">
        <v>22</v>
      </c>
      <c r="G26" s="3"/>
      <c r="H26" s="22"/>
      <c r="I26" s="7"/>
      <c r="J26" s="18"/>
      <c r="K26" s="18"/>
      <c r="L26" s="19"/>
      <c r="M26" s="20"/>
    </row>
    <row r="27" spans="1:15" ht="15.75" customHeight="1">
      <c r="A27" s="101" t="s">
        <v>0</v>
      </c>
      <c r="B27" s="101" t="s">
        <v>1</v>
      </c>
      <c r="C27" s="102" t="s">
        <v>30</v>
      </c>
      <c r="D27" s="103" t="s">
        <v>31</v>
      </c>
      <c r="F27" s="23">
        <v>23</v>
      </c>
      <c r="G27" s="3" t="s">
        <v>65</v>
      </c>
      <c r="H27" s="22">
        <v>13</v>
      </c>
      <c r="I27" s="7">
        <v>150</v>
      </c>
      <c r="J27" s="18">
        <f>H27*I27</f>
        <v>1950</v>
      </c>
      <c r="K27" s="18" t="str">
        <f>DEC2HEX(J27)</f>
        <v>79E</v>
      </c>
      <c r="L27" s="19" t="s">
        <v>60</v>
      </c>
      <c r="M27" s="20"/>
    </row>
    <row r="28" spans="1:15" ht="15.75" customHeight="1">
      <c r="A28" s="101">
        <v>0</v>
      </c>
      <c r="B28" s="101" t="s">
        <v>66</v>
      </c>
      <c r="C28" s="101" t="s">
        <v>67</v>
      </c>
      <c r="D28" s="104"/>
      <c r="F28" s="23">
        <v>24</v>
      </c>
      <c r="G28" s="3"/>
      <c r="H28" s="22"/>
      <c r="I28" s="7"/>
      <c r="J28" s="18"/>
      <c r="K28" s="18"/>
      <c r="L28" s="19"/>
      <c r="M28" s="20"/>
    </row>
    <row r="29" spans="1:15" ht="15.75" customHeight="1">
      <c r="A29" s="101">
        <v>1</v>
      </c>
      <c r="B29" s="101" t="s">
        <v>11</v>
      </c>
      <c r="C29" s="112" t="s">
        <v>40</v>
      </c>
      <c r="D29" s="112" t="s">
        <v>41</v>
      </c>
      <c r="F29" s="23">
        <v>25</v>
      </c>
      <c r="G29" s="3" t="s">
        <v>68</v>
      </c>
      <c r="H29" s="22">
        <v>13</v>
      </c>
      <c r="I29" s="7">
        <v>150</v>
      </c>
      <c r="J29" s="18">
        <f>H29*I29</f>
        <v>1950</v>
      </c>
      <c r="K29" s="18" t="str">
        <f>DEC2HEX(J29)</f>
        <v>79E</v>
      </c>
      <c r="L29" s="19" t="s">
        <v>62</v>
      </c>
      <c r="M29" s="20"/>
      <c r="O29" s="29"/>
    </row>
    <row r="30" spans="1:15" ht="15.75" customHeight="1">
      <c r="A30" s="101">
        <v>2</v>
      </c>
      <c r="B30" s="101"/>
      <c r="C30" s="113"/>
      <c r="D30" s="113"/>
      <c r="F30" s="23">
        <v>26</v>
      </c>
      <c r="G30" s="3"/>
      <c r="H30" s="22"/>
      <c r="I30" s="7"/>
      <c r="J30" s="18"/>
      <c r="K30" s="18"/>
      <c r="L30" s="19"/>
      <c r="M30" s="20"/>
    </row>
    <row r="31" spans="1:15" ht="15.75" customHeight="1">
      <c r="A31" s="101">
        <v>3</v>
      </c>
      <c r="B31" s="101" t="s">
        <v>44</v>
      </c>
      <c r="C31" s="113"/>
      <c r="D31" s="113"/>
      <c r="F31" s="23">
        <v>27</v>
      </c>
      <c r="G31" s="3" t="s">
        <v>69</v>
      </c>
      <c r="H31" s="22">
        <v>150</v>
      </c>
      <c r="I31" s="7">
        <f>3639/216</f>
        <v>16.847222222222221</v>
      </c>
      <c r="J31" s="18">
        <f t="shared" ref="J31" si="2">H31*I31</f>
        <v>2527.083333333333</v>
      </c>
      <c r="K31" s="18" t="str">
        <f>DEC2HEX(J31)</f>
        <v>9DF</v>
      </c>
      <c r="L31" s="19" t="s">
        <v>64</v>
      </c>
      <c r="M31" s="20"/>
    </row>
    <row r="32" spans="1:15" ht="15.75" customHeight="1">
      <c r="A32" s="101">
        <v>4</v>
      </c>
      <c r="B32" s="101"/>
      <c r="C32" s="113"/>
      <c r="D32" s="113"/>
      <c r="F32" s="23">
        <v>28</v>
      </c>
      <c r="G32" s="3"/>
      <c r="H32" s="22"/>
      <c r="I32" s="7"/>
      <c r="J32" s="18" t="e">
        <f>#REF!*#REF!</f>
        <v>#REF!</v>
      </c>
      <c r="K32" s="18"/>
      <c r="L32" s="19"/>
      <c r="M32" s="20"/>
    </row>
    <row r="33" spans="1:13" ht="15.75" customHeight="1">
      <c r="A33" s="101">
        <v>5</v>
      </c>
      <c r="B33" s="101" t="s">
        <v>6</v>
      </c>
      <c r="C33" s="113"/>
      <c r="D33" s="113"/>
      <c r="F33" s="23">
        <v>29</v>
      </c>
      <c r="G33" s="3" t="s">
        <v>70</v>
      </c>
      <c r="H33" s="22">
        <v>140</v>
      </c>
      <c r="I33" s="7">
        <f>3639/216</f>
        <v>16.847222222222221</v>
      </c>
      <c r="J33" s="18">
        <f>H33*I33</f>
        <v>2358.6111111111109</v>
      </c>
      <c r="K33" s="18" t="str">
        <f>DEC2HEX(J33)</f>
        <v>936</v>
      </c>
      <c r="L33" s="19"/>
      <c r="M33" s="20"/>
    </row>
    <row r="34" spans="1:13" ht="15.75" customHeight="1">
      <c r="A34" s="101">
        <v>6</v>
      </c>
      <c r="B34" s="101"/>
      <c r="C34" s="113"/>
      <c r="D34" s="113"/>
      <c r="F34" s="23">
        <v>30</v>
      </c>
      <c r="G34" s="3"/>
      <c r="H34" s="22"/>
      <c r="I34" s="7"/>
      <c r="J34" s="18">
        <f>H34*I34</f>
        <v>0</v>
      </c>
      <c r="K34" s="18"/>
      <c r="L34" s="19"/>
      <c r="M34" s="20"/>
    </row>
    <row r="35" spans="1:13" ht="15.75" customHeight="1">
      <c r="A35" s="101">
        <v>7</v>
      </c>
      <c r="B35" s="101" t="s">
        <v>8</v>
      </c>
      <c r="C35" s="113"/>
      <c r="D35" s="113"/>
      <c r="F35" s="23">
        <v>31</v>
      </c>
      <c r="G35" s="3" t="s">
        <v>72</v>
      </c>
      <c r="H35" s="22">
        <v>30</v>
      </c>
      <c r="I35" s="7">
        <f>3639/216</f>
        <v>16.847222222222221</v>
      </c>
      <c r="J35" s="18">
        <f>H35*I35</f>
        <v>505.41666666666663</v>
      </c>
      <c r="K35" s="18" t="str">
        <f>DEC2HEX(J35)</f>
        <v>1F9</v>
      </c>
      <c r="L35" s="19"/>
      <c r="M35" s="20"/>
    </row>
    <row r="36" spans="1:13" ht="15.75" customHeight="1">
      <c r="A36" s="101">
        <v>8</v>
      </c>
      <c r="B36" s="101"/>
      <c r="C36" s="113"/>
      <c r="D36" s="113"/>
      <c r="F36" s="23">
        <v>32</v>
      </c>
      <c r="G36" s="3"/>
      <c r="H36" s="22"/>
      <c r="I36" s="7"/>
      <c r="J36" s="18">
        <f>H36*I36</f>
        <v>0</v>
      </c>
      <c r="K36" s="18"/>
      <c r="L36" s="19"/>
      <c r="M36" s="20"/>
    </row>
    <row r="37" spans="1:13" ht="15.75" customHeight="1">
      <c r="A37" s="101">
        <v>9</v>
      </c>
      <c r="B37" s="101" t="s">
        <v>51</v>
      </c>
      <c r="C37" s="113"/>
      <c r="D37" s="113"/>
      <c r="F37" s="23">
        <v>33</v>
      </c>
      <c r="G37" s="3" t="s">
        <v>74</v>
      </c>
      <c r="H37" s="22">
        <v>25</v>
      </c>
      <c r="I37" s="7">
        <f>3639/216</f>
        <v>16.847222222222221</v>
      </c>
      <c r="J37" s="18">
        <f>H37*I37</f>
        <v>421.18055555555554</v>
      </c>
      <c r="K37" s="18" t="str">
        <f>DEC2HEX(J37)</f>
        <v>1A5</v>
      </c>
      <c r="L37" s="19" t="s">
        <v>48</v>
      </c>
      <c r="M37" s="20"/>
    </row>
    <row r="38" spans="1:13" ht="15.75" customHeight="1">
      <c r="A38" s="101">
        <v>10</v>
      </c>
      <c r="B38" s="101"/>
      <c r="C38" s="113"/>
      <c r="D38" s="113"/>
      <c r="F38" s="23">
        <v>34</v>
      </c>
      <c r="G38" s="3"/>
      <c r="H38" s="22"/>
      <c r="I38" s="7"/>
      <c r="J38" s="18"/>
      <c r="K38" s="18"/>
      <c r="L38" s="19"/>
      <c r="M38" s="20"/>
    </row>
    <row r="39" spans="1:13" ht="15.75" customHeight="1">
      <c r="A39" s="101">
        <v>11</v>
      </c>
      <c r="B39" s="101" t="s">
        <v>47</v>
      </c>
      <c r="C39" s="113"/>
      <c r="D39" s="113"/>
      <c r="F39" s="23">
        <v>35</v>
      </c>
      <c r="G39" s="3" t="s">
        <v>75</v>
      </c>
      <c r="H39" s="22">
        <v>27</v>
      </c>
      <c r="I39" s="7">
        <f>4085/68</f>
        <v>60.073529411764703</v>
      </c>
      <c r="J39" s="18">
        <f>H39*I39</f>
        <v>1621.9852941176471</v>
      </c>
      <c r="K39" s="18" t="str">
        <f>DEC2HEX(J39)</f>
        <v>655</v>
      </c>
      <c r="L39" s="19" t="s">
        <v>71</v>
      </c>
      <c r="M39" s="20"/>
    </row>
    <row r="40" spans="1:13" ht="15.75" customHeight="1">
      <c r="A40" s="101">
        <v>12</v>
      </c>
      <c r="B40" s="101"/>
      <c r="C40" s="113"/>
      <c r="D40" s="113"/>
      <c r="F40" s="23">
        <v>36</v>
      </c>
      <c r="G40" s="3"/>
      <c r="H40" s="22"/>
      <c r="I40" s="7"/>
      <c r="J40" s="18"/>
      <c r="K40" s="18"/>
      <c r="L40" s="19"/>
      <c r="M40" s="20"/>
    </row>
    <row r="41" spans="1:13" ht="15.75" customHeight="1">
      <c r="A41" s="101">
        <v>13</v>
      </c>
      <c r="B41" s="101"/>
      <c r="C41" s="113"/>
      <c r="D41" s="113"/>
      <c r="F41" s="23">
        <v>37</v>
      </c>
      <c r="G41" s="3" t="s">
        <v>76</v>
      </c>
      <c r="H41" s="22" t="s">
        <v>133</v>
      </c>
      <c r="I41" s="7">
        <f>2633/270</f>
        <v>9.7518518518518515</v>
      </c>
      <c r="J41" s="18" t="e">
        <f>H41*I41</f>
        <v>#VALUE!</v>
      </c>
      <c r="K41" s="18" t="e">
        <f>DEC2HEX(J41)</f>
        <v>#VALUE!</v>
      </c>
      <c r="L41" s="19" t="s">
        <v>73</v>
      </c>
      <c r="M41" s="20"/>
    </row>
    <row r="42" spans="1:13" ht="15.75" customHeight="1">
      <c r="A42" s="101">
        <v>14</v>
      </c>
      <c r="B42" s="101"/>
      <c r="C42" s="113"/>
      <c r="D42" s="113"/>
      <c r="F42" s="23">
        <v>38</v>
      </c>
      <c r="G42" s="3"/>
      <c r="H42" s="22"/>
      <c r="I42" s="7"/>
      <c r="J42" s="18"/>
      <c r="K42" s="18"/>
      <c r="L42" s="19"/>
      <c r="M42" s="20"/>
    </row>
    <row r="43" spans="1:13" ht="15.75" customHeight="1">
      <c r="A43" s="106">
        <v>15</v>
      </c>
      <c r="B43" s="107"/>
      <c r="C43" s="113"/>
      <c r="D43" s="113"/>
      <c r="F43" s="23">
        <v>39</v>
      </c>
      <c r="G43" s="3" t="s">
        <v>77</v>
      </c>
      <c r="H43" s="53">
        <v>260</v>
      </c>
      <c r="I43" s="7">
        <f>2633/270</f>
        <v>9.7518518518518515</v>
      </c>
      <c r="J43" s="18">
        <f>H43*I43</f>
        <v>2535.4814814814813</v>
      </c>
      <c r="K43" s="18" t="str">
        <f>DEC2HEX(J43)</f>
        <v>9E7</v>
      </c>
      <c r="L43" s="19"/>
      <c r="M43" s="20"/>
    </row>
    <row r="44" spans="1:13" ht="15.75" customHeight="1">
      <c r="A44" s="101">
        <v>16</v>
      </c>
      <c r="B44" s="102"/>
      <c r="C44" s="113"/>
      <c r="D44" s="113"/>
      <c r="F44" s="23">
        <v>40</v>
      </c>
      <c r="H44" s="22"/>
      <c r="I44" s="7"/>
      <c r="J44" s="18"/>
      <c r="K44" s="18"/>
      <c r="L44" s="19"/>
      <c r="M44" s="20"/>
    </row>
    <row r="45" spans="1:13" ht="15.75" customHeight="1">
      <c r="A45" s="101">
        <v>17</v>
      </c>
      <c r="B45" s="107"/>
      <c r="C45" s="113"/>
      <c r="D45" s="113"/>
      <c r="F45" s="23">
        <v>41</v>
      </c>
      <c r="H45" s="22">
        <v>180</v>
      </c>
      <c r="I45" s="7">
        <f>2633/270</f>
        <v>9.7518518518518515</v>
      </c>
      <c r="J45" s="18">
        <f>H45*I45</f>
        <v>1755.3333333333333</v>
      </c>
      <c r="K45" s="18" t="str">
        <f>DEC2HEX(J45)</f>
        <v>6DB</v>
      </c>
      <c r="L45" s="19"/>
      <c r="M45" s="20"/>
    </row>
    <row r="46" spans="1:13" ht="15.75" customHeight="1">
      <c r="A46" s="101">
        <v>18</v>
      </c>
      <c r="B46" s="102"/>
      <c r="C46" s="114"/>
      <c r="D46" s="114"/>
      <c r="F46" s="23">
        <v>42</v>
      </c>
      <c r="H46" s="22"/>
      <c r="I46" s="7"/>
      <c r="J46" s="18"/>
      <c r="K46" s="18"/>
      <c r="L46" s="19"/>
      <c r="M46" s="20"/>
    </row>
    <row r="47" spans="1:13" ht="15.75" customHeight="1">
      <c r="A47" s="101">
        <v>19</v>
      </c>
      <c r="B47" s="101" t="s">
        <v>4</v>
      </c>
      <c r="C47" s="108"/>
      <c r="D47" s="108"/>
      <c r="F47" s="23">
        <v>43</v>
      </c>
      <c r="H47" s="22">
        <v>160</v>
      </c>
      <c r="I47" s="7">
        <f>2633/270</f>
        <v>9.7518518518518515</v>
      </c>
      <c r="J47" s="18">
        <f>H47*I47</f>
        <v>1560.2962962962963</v>
      </c>
      <c r="K47" s="18" t="str">
        <f>DEC2HEX(J47)</f>
        <v>618</v>
      </c>
      <c r="L47" s="19"/>
      <c r="M47" s="20"/>
    </row>
    <row r="48" spans="1:13" ht="15.75" customHeight="1">
      <c r="F48" s="23">
        <v>44</v>
      </c>
      <c r="M48" s="20"/>
    </row>
    <row r="49" spans="1:15" ht="15.75" customHeight="1">
      <c r="F49" s="23">
        <v>45</v>
      </c>
      <c r="H49" s="22">
        <v>6000</v>
      </c>
      <c r="I49" s="7">
        <v>0.33329999999999999</v>
      </c>
      <c r="J49" s="7">
        <v>2000</v>
      </c>
      <c r="K49" s="18" t="str">
        <f>DEC2HEX(J49)</f>
        <v>7D0</v>
      </c>
      <c r="L49" s="19" t="s">
        <v>78</v>
      </c>
      <c r="M49" s="20"/>
      <c r="N49" s="30"/>
    </row>
    <row r="50" spans="1:15" ht="14.4">
      <c r="F50" s="23">
        <v>46</v>
      </c>
      <c r="G50" s="3"/>
      <c r="H50" s="22"/>
      <c r="I50" s="7"/>
      <c r="J50" s="18"/>
      <c r="K50" s="18"/>
      <c r="L50" s="19"/>
      <c r="M50" s="20"/>
      <c r="N50" s="30"/>
      <c r="O50" s="30"/>
    </row>
    <row r="51" spans="1:15" ht="15.75" customHeight="1">
      <c r="F51" s="23">
        <v>47</v>
      </c>
      <c r="G51" s="3"/>
      <c r="M51" s="20"/>
    </row>
    <row r="52" spans="1:15" ht="14.4">
      <c r="F52" s="23">
        <v>48</v>
      </c>
      <c r="G52" s="3"/>
      <c r="H52" s="22"/>
      <c r="I52" s="7"/>
      <c r="J52" s="18"/>
      <c r="K52" s="18"/>
      <c r="L52" s="19"/>
      <c r="M52" s="20"/>
    </row>
    <row r="53" spans="1:15" ht="15.75" customHeight="1">
      <c r="F53" s="55">
        <v>49</v>
      </c>
      <c r="G53" s="54" t="s">
        <v>4</v>
      </c>
      <c r="H53" s="56"/>
      <c r="I53" s="57"/>
      <c r="J53" s="58"/>
      <c r="K53" s="58"/>
      <c r="L53" s="32"/>
      <c r="M53" s="20"/>
    </row>
    <row r="54" spans="1:15" ht="14.4">
      <c r="F54" s="60"/>
      <c r="G54" s="61"/>
      <c r="H54" s="60"/>
      <c r="I54" s="61"/>
      <c r="J54" s="62"/>
      <c r="K54" s="62"/>
      <c r="L54" s="63"/>
      <c r="M54" s="20"/>
    </row>
    <row r="55" spans="1:15" ht="15.75" customHeight="1">
      <c r="F55" s="60"/>
      <c r="G55" s="61"/>
      <c r="H55" s="60"/>
      <c r="I55" s="61"/>
      <c r="J55" s="62"/>
      <c r="K55" s="62"/>
      <c r="L55" s="63"/>
      <c r="M55" s="20"/>
    </row>
    <row r="56" spans="1:15" ht="14.4">
      <c r="F56" s="25" t="s">
        <v>5</v>
      </c>
      <c r="H56" s="60"/>
      <c r="I56" s="61"/>
      <c r="J56" s="62"/>
      <c r="K56" s="62"/>
      <c r="L56" s="63"/>
      <c r="M56" s="20"/>
    </row>
    <row r="57" spans="1:15" ht="15.75" customHeight="1">
      <c r="F57" s="23" t="s">
        <v>0</v>
      </c>
      <c r="G57" s="3" t="s">
        <v>1</v>
      </c>
      <c r="H57" s="60"/>
      <c r="I57" s="61"/>
      <c r="J57" s="62"/>
      <c r="K57" s="62"/>
      <c r="L57" s="63"/>
      <c r="M57" s="20"/>
    </row>
    <row r="58" spans="1:15" ht="15.75" customHeight="1">
      <c r="F58" s="23">
        <v>0</v>
      </c>
      <c r="G58" s="3" t="s">
        <v>79</v>
      </c>
      <c r="H58" s="60"/>
      <c r="I58" s="61"/>
      <c r="J58" s="62"/>
      <c r="K58" s="62"/>
      <c r="L58" s="63"/>
      <c r="M58" s="20"/>
    </row>
    <row r="59" spans="1:15" ht="15.75" customHeight="1">
      <c r="A59" s="22">
        <v>20</v>
      </c>
      <c r="B59" s="22">
        <v>0</v>
      </c>
      <c r="C59" s="97"/>
      <c r="D59" s="97"/>
      <c r="F59" s="23">
        <v>1</v>
      </c>
      <c r="G59" s="3" t="s">
        <v>4</v>
      </c>
      <c r="H59" s="59"/>
      <c r="I59" s="59"/>
      <c r="J59" s="59"/>
      <c r="K59" s="59"/>
      <c r="L59" s="59"/>
    </row>
    <row r="60" spans="1:15" ht="15.75" customHeight="1">
      <c r="A60" s="23">
        <v>21</v>
      </c>
      <c r="B60" s="16"/>
      <c r="C60" s="97"/>
      <c r="D60" s="97"/>
      <c r="F60" s="60"/>
      <c r="G60" s="61"/>
      <c r="H60" s="59"/>
      <c r="I60" s="59"/>
      <c r="J60" s="59"/>
      <c r="K60" s="59"/>
      <c r="L60" s="59"/>
    </row>
    <row r="61" spans="1:15" ht="15.75" customHeight="1">
      <c r="A61" s="22">
        <v>22</v>
      </c>
      <c r="B61" s="16"/>
      <c r="C61" s="97"/>
      <c r="D61" s="97"/>
      <c r="F61" s="60"/>
      <c r="G61" s="61"/>
      <c r="H61" s="60"/>
      <c r="I61" s="61"/>
      <c r="J61" s="62"/>
      <c r="K61" s="62"/>
      <c r="L61" s="63"/>
      <c r="M61" s="20"/>
    </row>
    <row r="62" spans="1:15" ht="15.75" customHeight="1">
      <c r="A62" s="22">
        <v>23</v>
      </c>
      <c r="B62" s="16"/>
      <c r="C62" s="97"/>
      <c r="D62" s="97"/>
      <c r="F62" s="60"/>
      <c r="G62" s="61"/>
      <c r="H62" s="60"/>
      <c r="I62" s="61"/>
      <c r="J62" s="62"/>
      <c r="K62" s="62"/>
      <c r="L62" s="63"/>
      <c r="M62" s="20"/>
    </row>
    <row r="63" spans="1:15" ht="15.75" customHeight="1">
      <c r="A63" s="22">
        <v>24</v>
      </c>
      <c r="B63" s="16"/>
      <c r="C63" s="97"/>
      <c r="D63" s="97"/>
      <c r="F63" s="60"/>
      <c r="G63" s="61"/>
      <c r="H63" s="64"/>
      <c r="I63" s="61"/>
      <c r="J63" s="62"/>
      <c r="K63" s="62"/>
      <c r="L63" s="63"/>
      <c r="M63" s="20"/>
    </row>
    <row r="64" spans="1:15" ht="15.75" customHeight="1">
      <c r="A64" s="22">
        <v>25</v>
      </c>
      <c r="B64" s="16"/>
      <c r="C64" s="97"/>
      <c r="D64" s="97"/>
      <c r="F64" s="60"/>
      <c r="G64" s="61"/>
      <c r="H64" s="61"/>
      <c r="I64" s="61"/>
      <c r="J64" s="62"/>
      <c r="K64" s="62"/>
      <c r="L64" s="63"/>
      <c r="M64" s="20"/>
    </row>
    <row r="65" spans="1:13" ht="15.75" customHeight="1">
      <c r="A65" s="22">
        <v>26</v>
      </c>
      <c r="B65" s="16"/>
      <c r="C65" s="97"/>
      <c r="D65" s="97"/>
      <c r="F65" s="60"/>
      <c r="G65" s="61"/>
      <c r="H65" s="64"/>
      <c r="I65" s="61"/>
      <c r="J65" s="62"/>
      <c r="K65" s="62"/>
      <c r="L65" s="63"/>
      <c r="M65" s="20"/>
    </row>
    <row r="66" spans="1:13" ht="15.75" customHeight="1">
      <c r="A66" s="22">
        <v>27</v>
      </c>
      <c r="B66" s="16"/>
      <c r="C66" s="97"/>
      <c r="D66" s="97"/>
      <c r="F66" s="60"/>
      <c r="G66" s="61"/>
      <c r="H66" s="61"/>
      <c r="I66" s="61"/>
      <c r="J66" s="62"/>
      <c r="K66" s="62"/>
      <c r="L66" s="63"/>
      <c r="M66" s="20"/>
    </row>
    <row r="67" spans="1:13" ht="15.75" customHeight="1">
      <c r="A67" s="22">
        <v>28</v>
      </c>
      <c r="B67" s="16"/>
      <c r="C67" s="97"/>
      <c r="D67" s="97"/>
      <c r="F67" s="60"/>
      <c r="G67" s="64"/>
      <c r="H67" s="64"/>
      <c r="I67" s="61"/>
      <c r="J67" s="62"/>
      <c r="K67" s="62"/>
      <c r="L67" s="63"/>
      <c r="M67" s="20"/>
    </row>
    <row r="68" spans="1:13" ht="15.75" customHeight="1">
      <c r="A68" s="22">
        <v>29</v>
      </c>
      <c r="B68" s="16"/>
      <c r="C68" s="97"/>
      <c r="D68" s="97"/>
      <c r="F68" s="60"/>
      <c r="G68" s="61"/>
      <c r="H68" s="61"/>
      <c r="I68" s="61"/>
      <c r="J68" s="62"/>
      <c r="K68" s="62"/>
      <c r="L68" s="63"/>
      <c r="M68" s="20"/>
    </row>
    <row r="69" spans="1:13" ht="14.4">
      <c r="A69" s="22">
        <v>30</v>
      </c>
      <c r="B69" s="16"/>
      <c r="C69" s="98"/>
      <c r="D69" s="98"/>
      <c r="F69" s="60"/>
      <c r="G69" s="61"/>
      <c r="H69" s="65"/>
      <c r="I69" s="61"/>
      <c r="J69" s="62"/>
      <c r="K69" s="62"/>
      <c r="L69" s="63"/>
      <c r="M69" s="20"/>
    </row>
    <row r="70" spans="1:13" ht="15.75" customHeight="1">
      <c r="A70" s="23">
        <v>31</v>
      </c>
      <c r="B70" s="22" t="s">
        <v>4</v>
      </c>
      <c r="C70" s="22" t="s">
        <v>4</v>
      </c>
      <c r="D70" s="16"/>
      <c r="F70" s="60"/>
      <c r="G70" s="61"/>
      <c r="H70" s="61"/>
      <c r="I70" s="61"/>
      <c r="J70" s="62"/>
      <c r="K70" s="62"/>
      <c r="L70" s="63"/>
      <c r="M70" s="20"/>
    </row>
    <row r="71" spans="1:13" ht="15.75" customHeight="1">
      <c r="F71" s="60"/>
      <c r="G71" s="64"/>
      <c r="H71" s="61"/>
      <c r="I71" s="61"/>
      <c r="J71" s="62"/>
      <c r="K71" s="62"/>
      <c r="L71" s="63"/>
      <c r="M71" s="20"/>
    </row>
    <row r="72" spans="1:13" ht="15.75" customHeight="1">
      <c r="F72" s="60"/>
      <c r="G72" s="61"/>
      <c r="H72" s="61"/>
      <c r="I72" s="61"/>
      <c r="J72" s="62"/>
      <c r="K72" s="62"/>
      <c r="L72" s="63"/>
      <c r="M72" s="20"/>
    </row>
    <row r="73" spans="1:13" ht="15.75" customHeight="1">
      <c r="F73" s="60"/>
      <c r="G73" s="61"/>
      <c r="H73" s="61"/>
      <c r="I73" s="61"/>
      <c r="J73" s="62"/>
      <c r="K73" s="62"/>
      <c r="L73" s="63"/>
      <c r="M73" s="20"/>
    </row>
    <row r="74" spans="1:13" ht="15.75" customHeight="1">
      <c r="F74" s="60"/>
      <c r="G74" s="61"/>
      <c r="H74" s="61"/>
      <c r="I74" s="61"/>
      <c r="J74" s="62"/>
      <c r="K74" s="62"/>
      <c r="L74" s="63"/>
      <c r="M74" s="20"/>
    </row>
    <row r="75" spans="1:13" ht="15.75" customHeight="1">
      <c r="F75" s="60"/>
      <c r="G75" s="61"/>
      <c r="H75" s="61"/>
      <c r="I75" s="61"/>
      <c r="J75" s="62"/>
      <c r="K75" s="62"/>
      <c r="L75" s="63"/>
      <c r="M75" s="20"/>
    </row>
    <row r="76" spans="1:13" ht="15.75" customHeight="1">
      <c r="F76" s="60"/>
      <c r="G76" s="61"/>
      <c r="H76" s="61"/>
      <c r="I76" s="61"/>
      <c r="J76" s="62"/>
      <c r="K76" s="62"/>
      <c r="L76" s="63"/>
      <c r="M76" s="20"/>
    </row>
    <row r="77" spans="1:13" ht="15.75" customHeight="1">
      <c r="F77" s="60"/>
      <c r="G77" s="61"/>
      <c r="H77" s="61"/>
      <c r="I77" s="61"/>
      <c r="J77" s="62"/>
      <c r="K77" s="62"/>
      <c r="L77" s="63"/>
      <c r="M77" s="20"/>
    </row>
    <row r="78" spans="1:13" ht="15.75" customHeight="1">
      <c r="F78" s="60"/>
      <c r="G78" s="61"/>
      <c r="H78" s="61"/>
      <c r="I78" s="61"/>
      <c r="J78" s="62"/>
      <c r="K78" s="62"/>
      <c r="L78" s="63"/>
      <c r="M78" s="20"/>
    </row>
    <row r="79" spans="1:13" ht="15.75" customHeight="1">
      <c r="F79" s="60"/>
      <c r="G79" s="64"/>
      <c r="H79" s="61"/>
      <c r="I79" s="61"/>
      <c r="J79" s="62"/>
      <c r="K79" s="62"/>
      <c r="L79" s="63"/>
      <c r="M79" s="20"/>
    </row>
    <row r="80" spans="1:13" ht="15.75" customHeight="1">
      <c r="F80" s="60"/>
      <c r="G80" s="61"/>
      <c r="H80" s="61"/>
      <c r="I80" s="61"/>
      <c r="J80" s="62"/>
      <c r="K80" s="62"/>
      <c r="L80" s="63"/>
      <c r="M80" s="20"/>
    </row>
    <row r="81" spans="1:13" ht="15.75" customHeight="1">
      <c r="F81" s="60"/>
      <c r="G81" s="64"/>
      <c r="H81" s="61"/>
      <c r="I81" s="61"/>
      <c r="J81" s="62"/>
      <c r="K81" s="62"/>
      <c r="L81" s="63"/>
      <c r="M81" s="20"/>
    </row>
    <row r="82" spans="1:13" ht="15.75" customHeight="1">
      <c r="F82" s="60"/>
      <c r="G82" s="61"/>
      <c r="H82" s="61"/>
      <c r="I82" s="61"/>
      <c r="J82" s="62"/>
      <c r="K82" s="62"/>
      <c r="L82" s="63"/>
      <c r="M82" s="20"/>
    </row>
    <row r="83" spans="1:13" ht="15.75" customHeight="1">
      <c r="F83" s="60"/>
      <c r="G83" s="66"/>
      <c r="H83" s="64"/>
      <c r="I83" s="61"/>
      <c r="J83" s="62"/>
      <c r="K83" s="62"/>
      <c r="L83" s="63"/>
      <c r="M83" s="20"/>
    </row>
    <row r="84" spans="1:13" ht="15.75" customHeight="1">
      <c r="F84" s="60"/>
      <c r="G84" s="61"/>
      <c r="H84" s="61"/>
      <c r="I84" s="61"/>
      <c r="J84" s="62"/>
      <c r="K84" s="62"/>
      <c r="L84" s="63"/>
      <c r="M84" s="20"/>
    </row>
    <row r="85" spans="1:13" ht="14.4">
      <c r="F85" s="60"/>
      <c r="G85" s="86"/>
      <c r="H85" s="90"/>
      <c r="I85" s="68"/>
      <c r="J85" s="62"/>
      <c r="K85" s="62"/>
      <c r="L85" s="63"/>
      <c r="M85" s="20"/>
    </row>
    <row r="86" spans="1:13" ht="15.75" customHeight="1">
      <c r="F86" s="60"/>
      <c r="G86" s="87"/>
      <c r="H86" s="87"/>
      <c r="I86" s="68"/>
      <c r="J86" s="62"/>
      <c r="K86" s="62"/>
      <c r="L86" s="63"/>
      <c r="M86" s="20"/>
    </row>
    <row r="87" spans="1:13" ht="15.75" customHeight="1">
      <c r="F87" s="60"/>
      <c r="G87" s="86"/>
      <c r="H87" s="90"/>
      <c r="I87" s="68"/>
      <c r="J87" s="62"/>
      <c r="K87" s="62"/>
      <c r="L87" s="63"/>
      <c r="M87" s="20"/>
    </row>
    <row r="88" spans="1:13" ht="15.75" customHeight="1">
      <c r="F88" s="60"/>
      <c r="G88" s="87"/>
      <c r="H88" s="87"/>
      <c r="I88" s="68"/>
      <c r="J88" s="62"/>
      <c r="K88" s="62"/>
      <c r="L88" s="63"/>
      <c r="M88" s="20"/>
    </row>
    <row r="89" spans="1:13" ht="15.75" customHeight="1">
      <c r="F89" s="60"/>
      <c r="G89" s="92"/>
      <c r="H89" s="86"/>
      <c r="I89" s="68"/>
      <c r="J89" s="62"/>
      <c r="K89" s="62"/>
      <c r="L89" s="63"/>
      <c r="M89" s="20"/>
    </row>
    <row r="90" spans="1:13" ht="15.75" customHeight="1">
      <c r="F90" s="60"/>
      <c r="G90" s="87"/>
      <c r="H90" s="87"/>
      <c r="I90" s="68"/>
      <c r="J90" s="62"/>
      <c r="K90" s="62"/>
      <c r="L90" s="63"/>
      <c r="M90" s="20"/>
    </row>
    <row r="91" spans="1:13" ht="15.75" customHeight="1">
      <c r="F91" s="60"/>
      <c r="G91" s="86"/>
      <c r="H91" s="68"/>
      <c r="I91" s="68"/>
      <c r="J91" s="62"/>
      <c r="K91" s="62"/>
      <c r="L91" s="63"/>
      <c r="M91" s="20"/>
    </row>
    <row r="92" spans="1:13" ht="15.75" customHeight="1">
      <c r="A92" s="31"/>
      <c r="F92" s="60"/>
      <c r="G92" s="87"/>
      <c r="H92" s="68"/>
      <c r="I92" s="68"/>
      <c r="J92" s="62"/>
      <c r="K92" s="62"/>
      <c r="L92" s="63"/>
      <c r="M92" s="20"/>
    </row>
    <row r="93" spans="1:13" ht="15.75" customHeight="1">
      <c r="A93" s="31"/>
      <c r="F93" s="60"/>
      <c r="G93" s="67"/>
      <c r="H93" s="68"/>
      <c r="I93" s="68"/>
      <c r="J93" s="62"/>
      <c r="K93" s="62"/>
      <c r="L93" s="63"/>
      <c r="M93" s="20"/>
    </row>
    <row r="94" spans="1:13" ht="15.75" customHeight="1">
      <c r="A94" s="31"/>
      <c r="F94" s="33"/>
      <c r="G94" s="34"/>
      <c r="H94" s="35"/>
      <c r="I94" s="36"/>
      <c r="J94" s="20"/>
      <c r="K94" s="20"/>
      <c r="L94" s="37"/>
      <c r="M94" s="20"/>
    </row>
    <row r="95" spans="1:13" ht="15.75" customHeight="1">
      <c r="A95" s="31"/>
      <c r="F95" s="33"/>
      <c r="G95" s="88"/>
      <c r="H95" s="88"/>
      <c r="I95" s="36"/>
      <c r="J95" s="20"/>
      <c r="K95" s="20"/>
      <c r="L95" s="37"/>
      <c r="M95" s="20"/>
    </row>
    <row r="96" spans="1:13" ht="15.75" customHeight="1">
      <c r="A96" s="31"/>
      <c r="F96" s="33"/>
      <c r="G96" s="89"/>
      <c r="H96" s="89"/>
      <c r="I96" s="36"/>
      <c r="J96" s="20"/>
      <c r="K96" s="20"/>
      <c r="L96" s="37"/>
      <c r="M96" s="20"/>
    </row>
    <row r="97" spans="1:13" ht="15.75" customHeight="1">
      <c r="A97" s="31"/>
      <c r="F97" s="33"/>
      <c r="G97" s="91"/>
      <c r="H97" s="35"/>
      <c r="I97" s="36"/>
      <c r="J97" s="20"/>
      <c r="K97" s="20"/>
      <c r="L97" s="37"/>
      <c r="M97" s="20"/>
    </row>
    <row r="98" spans="1:13" ht="15.75" customHeight="1">
      <c r="A98" s="31"/>
      <c r="F98" s="33"/>
      <c r="G98" s="89"/>
      <c r="H98" s="35"/>
      <c r="I98" s="36"/>
      <c r="J98" s="20"/>
      <c r="K98" s="20"/>
      <c r="L98" s="37"/>
      <c r="M98" s="20"/>
    </row>
    <row r="99" spans="1:13" ht="15.75" customHeight="1">
      <c r="A99" s="31"/>
      <c r="F99" s="33"/>
      <c r="G99" s="38"/>
      <c r="H99" s="35"/>
      <c r="I99" s="36"/>
      <c r="J99" s="20"/>
      <c r="K99" s="20"/>
      <c r="L99" s="37"/>
      <c r="M99" s="20"/>
    </row>
    <row r="100" spans="1:13" ht="15.75" customHeight="1">
      <c r="A100" s="31"/>
      <c r="F100" s="33"/>
      <c r="G100" s="38"/>
      <c r="H100" s="39"/>
      <c r="J100" s="20"/>
      <c r="K100" s="20"/>
      <c r="L100" s="37"/>
      <c r="M100" s="20"/>
    </row>
    <row r="101" spans="1:13" ht="15.75" customHeight="1">
      <c r="A101" s="31"/>
      <c r="F101" s="33"/>
      <c r="G101" s="38"/>
      <c r="H101" s="39"/>
      <c r="J101" s="20"/>
      <c r="K101" s="20"/>
      <c r="L101" s="37"/>
      <c r="M101" s="20"/>
    </row>
    <row r="102" spans="1:13" ht="15.75" customHeight="1">
      <c r="A102" s="31"/>
      <c r="F102" s="33"/>
      <c r="G102" s="39"/>
      <c r="H102" s="39"/>
      <c r="J102" s="20"/>
      <c r="K102" s="20"/>
      <c r="L102" s="37"/>
      <c r="M102" s="20"/>
    </row>
    <row r="103" spans="1:13" ht="15.75" customHeight="1">
      <c r="A103" s="31"/>
      <c r="F103" s="33"/>
      <c r="G103" s="39"/>
      <c r="H103" s="39"/>
      <c r="J103" s="20"/>
      <c r="K103" s="20"/>
      <c r="L103" s="37"/>
      <c r="M103" s="20"/>
    </row>
    <row r="104" spans="1:13" ht="15.75" customHeight="1">
      <c r="A104" s="31"/>
      <c r="F104" s="31"/>
      <c r="J104" s="20"/>
      <c r="K104" s="20"/>
      <c r="L104" s="37"/>
      <c r="M104" s="20"/>
    </row>
    <row r="105" spans="1:13" ht="15.75" customHeight="1">
      <c r="A105" s="31"/>
      <c r="F105" s="31"/>
      <c r="J105" s="20"/>
      <c r="K105" s="20"/>
      <c r="L105" s="37"/>
      <c r="M105" s="20"/>
    </row>
    <row r="106" spans="1:13" ht="15.75" customHeight="1">
      <c r="A106" s="31"/>
      <c r="F106" s="31"/>
      <c r="G106" s="40"/>
      <c r="J106" s="20"/>
      <c r="K106" s="20"/>
      <c r="L106" s="37"/>
      <c r="M106" s="20"/>
    </row>
    <row r="107" spans="1:13" ht="15.75" customHeight="1">
      <c r="A107" s="31"/>
      <c r="F107" s="31"/>
      <c r="J107" s="20"/>
      <c r="K107" s="20"/>
      <c r="L107" s="37"/>
      <c r="M107" s="20"/>
    </row>
    <row r="108" spans="1:13" ht="15.75" customHeight="1">
      <c r="A108" s="31"/>
      <c r="F108" s="31"/>
      <c r="J108" s="20"/>
      <c r="K108" s="20"/>
      <c r="L108" s="37"/>
      <c r="M108" s="20"/>
    </row>
    <row r="109" spans="1:13" ht="15.75" customHeight="1">
      <c r="A109" s="31"/>
      <c r="H109" s="29"/>
      <c r="J109" s="20"/>
      <c r="K109" s="20"/>
      <c r="L109" s="37"/>
      <c r="M109" s="20"/>
    </row>
    <row r="110" spans="1:13" ht="15.75" customHeight="1">
      <c r="A110" s="31"/>
      <c r="H110" s="29"/>
      <c r="J110" s="20"/>
      <c r="K110" s="20"/>
      <c r="L110" s="37"/>
      <c r="M110" s="20"/>
    </row>
    <row r="111" spans="1:13" ht="15.75" customHeight="1">
      <c r="A111" s="31"/>
      <c r="G111" s="31"/>
      <c r="H111" s="1"/>
      <c r="J111" s="20"/>
      <c r="K111" s="20"/>
      <c r="L111" s="37"/>
      <c r="M111" s="20"/>
    </row>
    <row r="112" spans="1:13" ht="15.75" customHeight="1">
      <c r="A112" s="31"/>
      <c r="G112" s="31"/>
      <c r="J112" s="20"/>
      <c r="K112" s="20"/>
      <c r="L112" s="37"/>
      <c r="M112" s="20"/>
    </row>
    <row r="113" spans="1:13" ht="15.75" customHeight="1">
      <c r="A113" s="31"/>
      <c r="J113" s="20"/>
      <c r="K113" s="20"/>
      <c r="L113" s="37"/>
      <c r="M113" s="20"/>
    </row>
    <row r="114" spans="1:13" ht="15.75" customHeight="1">
      <c r="A114" s="31"/>
      <c r="J114" s="20"/>
      <c r="K114" s="20"/>
      <c r="L114" s="37"/>
      <c r="M114" s="20"/>
    </row>
    <row r="115" spans="1:13" ht="15.75" customHeight="1">
      <c r="A115" s="31"/>
      <c r="J115" s="20"/>
      <c r="K115" s="20"/>
      <c r="L115" s="37"/>
      <c r="M115" s="20"/>
    </row>
    <row r="116" spans="1:13" ht="15.75" customHeight="1">
      <c r="A116" s="31"/>
      <c r="F116" s="31"/>
      <c r="J116" s="20"/>
      <c r="K116" s="20"/>
      <c r="L116" s="37"/>
      <c r="M116" s="20"/>
    </row>
    <row r="117" spans="1:13" ht="15.75" customHeight="1">
      <c r="A117" s="31"/>
      <c r="F117" s="31"/>
      <c r="G117" s="31"/>
      <c r="J117" s="20"/>
      <c r="K117" s="20"/>
      <c r="L117" s="37"/>
      <c r="M117" s="20"/>
    </row>
    <row r="118" spans="1:13" ht="15.75" customHeight="1">
      <c r="A118" s="31"/>
      <c r="F118" s="31"/>
      <c r="J118" s="20"/>
      <c r="K118" s="20"/>
      <c r="L118" s="37"/>
      <c r="M118" s="20"/>
    </row>
    <row r="119" spans="1:13" ht="15.75" customHeight="1">
      <c r="A119" s="31"/>
      <c r="F119" s="31"/>
      <c r="J119" s="20"/>
      <c r="K119" s="20"/>
      <c r="L119" s="37"/>
      <c r="M119" s="20"/>
    </row>
    <row r="120" spans="1:13" ht="15.75" customHeight="1">
      <c r="A120" s="31"/>
      <c r="F120" s="31"/>
      <c r="J120" s="20"/>
      <c r="K120" s="20"/>
      <c r="L120" s="37"/>
      <c r="M120" s="20"/>
    </row>
    <row r="121" spans="1:13" ht="15.75" customHeight="1">
      <c r="A121" s="31"/>
      <c r="F121" s="31"/>
      <c r="J121" s="20"/>
      <c r="K121" s="20"/>
      <c r="L121" s="37"/>
      <c r="M121" s="20"/>
    </row>
    <row r="122" spans="1:13" ht="15.75" customHeight="1">
      <c r="A122" s="31"/>
      <c r="F122" s="31"/>
      <c r="J122" s="20"/>
      <c r="K122" s="20"/>
      <c r="L122" s="37"/>
      <c r="M122" s="20"/>
    </row>
    <row r="123" spans="1:13" ht="15.75" customHeight="1">
      <c r="A123" s="31"/>
      <c r="F123" s="31"/>
      <c r="J123" s="20"/>
      <c r="K123" s="20"/>
      <c r="L123" s="37"/>
      <c r="M123" s="20"/>
    </row>
    <row r="124" spans="1:13" ht="15.75" customHeight="1">
      <c r="A124" s="31"/>
      <c r="F124" s="31"/>
      <c r="J124" s="20"/>
      <c r="K124" s="20"/>
      <c r="L124" s="37"/>
      <c r="M124" s="20"/>
    </row>
    <row r="125" spans="1:13" ht="15.75" customHeight="1">
      <c r="A125" s="31"/>
      <c r="F125" s="31"/>
      <c r="J125" s="20"/>
      <c r="K125" s="20"/>
      <c r="L125" s="37"/>
      <c r="M125" s="20"/>
    </row>
    <row r="126" spans="1:13" ht="15.75" customHeight="1">
      <c r="A126" s="31"/>
      <c r="F126" s="31"/>
      <c r="J126" s="20"/>
      <c r="K126" s="20"/>
      <c r="L126" s="37"/>
      <c r="M126" s="20"/>
    </row>
    <row r="127" spans="1:13" ht="15.75" customHeight="1">
      <c r="A127" s="31"/>
      <c r="F127" s="31"/>
      <c r="J127" s="20"/>
      <c r="K127" s="20"/>
      <c r="L127" s="37"/>
      <c r="M127" s="20"/>
    </row>
    <row r="128" spans="1:13" ht="15.75" customHeight="1">
      <c r="A128" s="31"/>
      <c r="F128" s="31"/>
      <c r="J128" s="20"/>
      <c r="K128" s="20"/>
      <c r="L128" s="37"/>
      <c r="M128" s="20"/>
    </row>
    <row r="129" spans="1:13" ht="15.75" customHeight="1">
      <c r="A129" s="31"/>
      <c r="F129" s="31"/>
      <c r="J129" s="20"/>
      <c r="K129" s="20"/>
      <c r="L129" s="37"/>
      <c r="M129" s="20"/>
    </row>
    <row r="130" spans="1:13" ht="15.75" customHeight="1">
      <c r="A130" s="31"/>
      <c r="F130" s="31"/>
      <c r="J130" s="20"/>
      <c r="K130" s="20"/>
      <c r="L130" s="37"/>
      <c r="M130" s="20"/>
    </row>
    <row r="131" spans="1:13" ht="15.75" customHeight="1">
      <c r="A131" s="31"/>
      <c r="F131" s="31"/>
      <c r="J131" s="20"/>
      <c r="K131" s="20"/>
      <c r="L131" s="37"/>
      <c r="M131" s="20"/>
    </row>
    <row r="132" spans="1:13" ht="15.75" customHeight="1">
      <c r="A132" s="31"/>
      <c r="F132" s="31"/>
      <c r="J132" s="20"/>
      <c r="K132" s="20"/>
      <c r="L132" s="37"/>
      <c r="M132" s="20"/>
    </row>
    <row r="133" spans="1:13" ht="15.75" customHeight="1">
      <c r="A133" s="31"/>
      <c r="F133" s="31"/>
      <c r="J133" s="20"/>
      <c r="K133" s="20"/>
      <c r="L133" s="37"/>
      <c r="M133" s="20"/>
    </row>
    <row r="134" spans="1:13" ht="15.75" customHeight="1">
      <c r="A134" s="31"/>
      <c r="F134" s="31"/>
      <c r="J134" s="20"/>
      <c r="K134" s="20"/>
      <c r="L134" s="37"/>
      <c r="M134" s="20"/>
    </row>
    <row r="135" spans="1:13" ht="15.75" customHeight="1">
      <c r="A135" s="31"/>
      <c r="F135" s="31"/>
      <c r="J135" s="20"/>
      <c r="K135" s="20"/>
      <c r="L135" s="37"/>
      <c r="M135" s="20"/>
    </row>
    <row r="136" spans="1:13" ht="15.75" customHeight="1">
      <c r="A136" s="31"/>
      <c r="F136" s="31"/>
      <c r="J136" s="20"/>
      <c r="K136" s="20"/>
      <c r="L136" s="37"/>
      <c r="M136" s="20"/>
    </row>
    <row r="137" spans="1:13" ht="15.75" customHeight="1">
      <c r="A137" s="31"/>
      <c r="F137" s="31"/>
      <c r="J137" s="20"/>
      <c r="K137" s="20"/>
      <c r="L137" s="37"/>
      <c r="M137" s="20"/>
    </row>
    <row r="138" spans="1:13" ht="15.75" customHeight="1">
      <c r="A138" s="31"/>
      <c r="F138" s="31"/>
      <c r="J138" s="20"/>
      <c r="K138" s="20"/>
      <c r="L138" s="37"/>
      <c r="M138" s="20"/>
    </row>
    <row r="139" spans="1:13" ht="15.75" customHeight="1">
      <c r="A139" s="31"/>
      <c r="F139" s="31"/>
      <c r="J139" s="20"/>
      <c r="K139" s="20"/>
      <c r="L139" s="37"/>
      <c r="M139" s="20"/>
    </row>
    <row r="140" spans="1:13" ht="15.75" customHeight="1">
      <c r="A140" s="31"/>
      <c r="F140" s="31"/>
      <c r="J140" s="20"/>
      <c r="K140" s="20"/>
      <c r="L140" s="37"/>
      <c r="M140" s="20"/>
    </row>
    <row r="141" spans="1:13" ht="15.75" customHeight="1">
      <c r="A141" s="31"/>
      <c r="F141" s="31"/>
      <c r="J141" s="20"/>
      <c r="K141" s="20"/>
      <c r="L141" s="37"/>
      <c r="M141" s="20"/>
    </row>
    <row r="142" spans="1:13" ht="15.75" customHeight="1">
      <c r="A142" s="31"/>
      <c r="F142" s="31"/>
      <c r="J142" s="20"/>
      <c r="K142" s="20"/>
      <c r="L142" s="37"/>
      <c r="M142" s="20"/>
    </row>
    <row r="143" spans="1:13" ht="15.75" customHeight="1">
      <c r="A143" s="31"/>
      <c r="F143" s="31"/>
      <c r="J143" s="20"/>
      <c r="K143" s="20"/>
      <c r="L143" s="37"/>
      <c r="M143" s="20"/>
    </row>
    <row r="144" spans="1:13" ht="15.75" customHeight="1">
      <c r="A144" s="31"/>
      <c r="F144" s="31"/>
      <c r="J144" s="20"/>
      <c r="K144" s="20"/>
      <c r="L144" s="37"/>
      <c r="M144" s="20"/>
    </row>
    <row r="145" spans="1:13" ht="15.75" customHeight="1">
      <c r="A145" s="31"/>
      <c r="F145" s="31"/>
      <c r="J145" s="20"/>
      <c r="K145" s="20"/>
      <c r="L145" s="37"/>
      <c r="M145" s="20"/>
    </row>
    <row r="146" spans="1:13" ht="15.75" customHeight="1">
      <c r="A146" s="31"/>
      <c r="F146" s="31"/>
      <c r="J146" s="20"/>
      <c r="K146" s="20"/>
      <c r="L146" s="37"/>
      <c r="M146" s="20"/>
    </row>
    <row r="147" spans="1:13" ht="15.75" customHeight="1">
      <c r="A147" s="31"/>
      <c r="F147" s="31"/>
      <c r="J147" s="20"/>
      <c r="K147" s="20"/>
      <c r="L147" s="37"/>
      <c r="M147" s="20"/>
    </row>
    <row r="148" spans="1:13" ht="15.75" customHeight="1">
      <c r="A148" s="31"/>
      <c r="F148" s="31"/>
      <c r="J148" s="20"/>
      <c r="K148" s="20"/>
      <c r="L148" s="37"/>
      <c r="M148" s="20"/>
    </row>
    <row r="149" spans="1:13" ht="15.75" customHeight="1">
      <c r="A149" s="31"/>
      <c r="F149" s="31"/>
      <c r="J149" s="20"/>
      <c r="K149" s="20"/>
      <c r="L149" s="37"/>
      <c r="M149" s="20"/>
    </row>
    <row r="150" spans="1:13" ht="15.75" customHeight="1">
      <c r="A150" s="31"/>
      <c r="F150" s="31"/>
      <c r="J150" s="20"/>
      <c r="K150" s="20"/>
      <c r="L150" s="37"/>
      <c r="M150" s="20"/>
    </row>
    <row r="151" spans="1:13" ht="15.75" customHeight="1">
      <c r="A151" s="31"/>
      <c r="F151" s="31"/>
      <c r="J151" s="20"/>
      <c r="K151" s="20"/>
      <c r="L151" s="37"/>
      <c r="M151" s="20"/>
    </row>
    <row r="152" spans="1:13" ht="15.75" customHeight="1">
      <c r="A152" s="31"/>
      <c r="F152" s="31"/>
      <c r="J152" s="20"/>
      <c r="K152" s="20"/>
      <c r="L152" s="37"/>
      <c r="M152" s="20"/>
    </row>
    <row r="153" spans="1:13" ht="15.75" customHeight="1">
      <c r="A153" s="31"/>
      <c r="F153" s="31"/>
      <c r="J153" s="20"/>
      <c r="K153" s="20"/>
      <c r="L153" s="37"/>
      <c r="M153" s="20"/>
    </row>
    <row r="154" spans="1:13" ht="15.75" customHeight="1">
      <c r="A154" s="31"/>
      <c r="F154" s="31"/>
      <c r="J154" s="20"/>
      <c r="K154" s="20"/>
      <c r="L154" s="37"/>
      <c r="M154" s="20"/>
    </row>
    <row r="155" spans="1:13" ht="15.75" customHeight="1">
      <c r="A155" s="31"/>
      <c r="F155" s="31"/>
      <c r="J155" s="20"/>
      <c r="K155" s="20"/>
      <c r="L155" s="37"/>
      <c r="M155" s="20"/>
    </row>
    <row r="156" spans="1:13" ht="15.75" customHeight="1">
      <c r="A156" s="31"/>
      <c r="F156" s="31"/>
      <c r="J156" s="20"/>
      <c r="K156" s="20"/>
      <c r="L156" s="37"/>
      <c r="M156" s="20"/>
    </row>
    <row r="157" spans="1:13" ht="15.75" customHeight="1">
      <c r="A157" s="31"/>
      <c r="F157" s="31"/>
      <c r="J157" s="20"/>
      <c r="K157" s="20"/>
      <c r="L157" s="37"/>
      <c r="M157" s="20"/>
    </row>
    <row r="158" spans="1:13" ht="15.75" customHeight="1">
      <c r="A158" s="31"/>
      <c r="F158" s="31"/>
      <c r="J158" s="20"/>
      <c r="K158" s="20"/>
      <c r="L158" s="37"/>
      <c r="M158" s="20"/>
    </row>
    <row r="159" spans="1:13" ht="15.75" customHeight="1">
      <c r="A159" s="31"/>
      <c r="F159" s="31"/>
      <c r="J159" s="20"/>
      <c r="K159" s="20"/>
      <c r="L159" s="37"/>
      <c r="M159" s="20"/>
    </row>
    <row r="160" spans="1:13" ht="15.75" customHeight="1">
      <c r="A160" s="31"/>
      <c r="F160" s="31"/>
      <c r="J160" s="20"/>
      <c r="K160" s="20"/>
      <c r="L160" s="37"/>
      <c r="M160" s="20"/>
    </row>
    <row r="161" spans="1:13" ht="15.75" customHeight="1">
      <c r="A161" s="31"/>
      <c r="F161" s="31"/>
      <c r="J161" s="20"/>
      <c r="K161" s="20"/>
      <c r="L161" s="37"/>
      <c r="M161" s="20"/>
    </row>
    <row r="162" spans="1:13" ht="15.75" customHeight="1">
      <c r="A162" s="31"/>
      <c r="F162" s="31"/>
      <c r="J162" s="20"/>
      <c r="K162" s="20"/>
      <c r="L162" s="37"/>
      <c r="M162" s="20"/>
    </row>
    <row r="163" spans="1:13" ht="15.75" customHeight="1">
      <c r="A163" s="31"/>
      <c r="F163" s="31"/>
      <c r="J163" s="20"/>
      <c r="K163" s="20"/>
      <c r="L163" s="37"/>
      <c r="M163" s="20"/>
    </row>
    <row r="164" spans="1:13" ht="15.75" customHeight="1">
      <c r="A164" s="31"/>
      <c r="F164" s="31"/>
      <c r="J164" s="20"/>
      <c r="K164" s="20"/>
      <c r="L164" s="37"/>
      <c r="M164" s="20"/>
    </row>
    <row r="165" spans="1:13" ht="15.75" customHeight="1">
      <c r="A165" s="31"/>
      <c r="F165" s="31"/>
      <c r="J165" s="20"/>
      <c r="K165" s="20"/>
      <c r="L165" s="37"/>
      <c r="M165" s="20"/>
    </row>
    <row r="166" spans="1:13" ht="15.75" customHeight="1">
      <c r="A166" s="31"/>
      <c r="F166" s="31"/>
      <c r="J166" s="20"/>
      <c r="K166" s="20"/>
      <c r="L166" s="37"/>
      <c r="M166" s="20"/>
    </row>
    <row r="167" spans="1:13" ht="15.75" customHeight="1">
      <c r="A167" s="31"/>
      <c r="F167" s="31"/>
      <c r="J167" s="20"/>
      <c r="K167" s="20"/>
      <c r="L167" s="37"/>
      <c r="M167" s="20"/>
    </row>
    <row r="168" spans="1:13" ht="15.75" customHeight="1">
      <c r="A168" s="31"/>
      <c r="F168" s="31"/>
      <c r="J168" s="20"/>
      <c r="K168" s="20"/>
      <c r="L168" s="37"/>
      <c r="M168" s="20"/>
    </row>
    <row r="169" spans="1:13" ht="15.75" customHeight="1">
      <c r="A169" s="31"/>
      <c r="F169" s="31"/>
      <c r="J169" s="20"/>
      <c r="K169" s="20"/>
      <c r="L169" s="37"/>
      <c r="M169" s="20"/>
    </row>
    <row r="170" spans="1:13" ht="15.75" customHeight="1">
      <c r="A170" s="31"/>
      <c r="F170" s="31"/>
      <c r="J170" s="20"/>
      <c r="K170" s="20"/>
      <c r="L170" s="37"/>
      <c r="M170" s="20"/>
    </row>
    <row r="171" spans="1:13" ht="15.75" customHeight="1">
      <c r="A171" s="31"/>
      <c r="F171" s="31"/>
      <c r="J171" s="20"/>
      <c r="K171" s="20"/>
      <c r="L171" s="37"/>
      <c r="M171" s="20"/>
    </row>
    <row r="172" spans="1:13" ht="15.75" customHeight="1">
      <c r="A172" s="31"/>
      <c r="F172" s="31"/>
      <c r="J172" s="20"/>
      <c r="K172" s="20"/>
      <c r="L172" s="37"/>
      <c r="M172" s="20"/>
    </row>
    <row r="173" spans="1:13" ht="15.75" customHeight="1">
      <c r="A173" s="31"/>
      <c r="F173" s="31"/>
      <c r="J173" s="20"/>
      <c r="K173" s="20"/>
      <c r="L173" s="37"/>
      <c r="M173" s="20"/>
    </row>
    <row r="174" spans="1:13" ht="15.75" customHeight="1">
      <c r="A174" s="31"/>
      <c r="F174" s="31"/>
      <c r="J174" s="20"/>
      <c r="K174" s="20"/>
      <c r="L174" s="37"/>
      <c r="M174" s="20"/>
    </row>
    <row r="175" spans="1:13" ht="15.75" customHeight="1">
      <c r="A175" s="31"/>
      <c r="F175" s="31"/>
      <c r="J175" s="20"/>
      <c r="K175" s="20"/>
      <c r="L175" s="37"/>
      <c r="M175" s="20"/>
    </row>
    <row r="176" spans="1:13" ht="15.75" customHeight="1">
      <c r="A176" s="31"/>
      <c r="F176" s="31"/>
      <c r="J176" s="20"/>
      <c r="K176" s="20"/>
      <c r="L176" s="37"/>
      <c r="M176" s="20"/>
    </row>
    <row r="177" spans="1:13" ht="15.75" customHeight="1">
      <c r="A177" s="31"/>
      <c r="F177" s="31"/>
      <c r="J177" s="20"/>
      <c r="K177" s="20"/>
      <c r="L177" s="37"/>
      <c r="M177" s="20"/>
    </row>
    <row r="178" spans="1:13" ht="15.75" customHeight="1">
      <c r="A178" s="31"/>
      <c r="F178" s="31"/>
      <c r="J178" s="20"/>
      <c r="K178" s="20"/>
      <c r="L178" s="37"/>
      <c r="M178" s="20"/>
    </row>
    <row r="179" spans="1:13" ht="15.75" customHeight="1">
      <c r="A179" s="31"/>
      <c r="F179" s="31"/>
      <c r="J179" s="20"/>
      <c r="K179" s="20"/>
      <c r="L179" s="37"/>
      <c r="M179" s="20"/>
    </row>
    <row r="180" spans="1:13" ht="15.75" customHeight="1">
      <c r="A180" s="31"/>
      <c r="F180" s="31"/>
      <c r="J180" s="20"/>
      <c r="K180" s="20"/>
      <c r="L180" s="37"/>
      <c r="M180" s="20"/>
    </row>
    <row r="181" spans="1:13" ht="15.75" customHeight="1">
      <c r="A181" s="31"/>
      <c r="F181" s="31"/>
      <c r="J181" s="20"/>
      <c r="K181" s="20"/>
      <c r="L181" s="37"/>
      <c r="M181" s="20"/>
    </row>
    <row r="182" spans="1:13" ht="15.75" customHeight="1">
      <c r="A182" s="31"/>
      <c r="F182" s="31"/>
      <c r="J182" s="20"/>
      <c r="K182" s="20"/>
      <c r="L182" s="37"/>
      <c r="M182" s="20"/>
    </row>
    <row r="183" spans="1:13" ht="15.75" customHeight="1">
      <c r="A183" s="31"/>
      <c r="F183" s="31"/>
      <c r="J183" s="20"/>
      <c r="K183" s="20"/>
      <c r="L183" s="37"/>
      <c r="M183" s="20"/>
    </row>
    <row r="184" spans="1:13" ht="15.75" customHeight="1">
      <c r="A184" s="31"/>
      <c r="F184" s="31"/>
      <c r="J184" s="20"/>
      <c r="K184" s="20"/>
      <c r="L184" s="37"/>
      <c r="M184" s="20"/>
    </row>
    <row r="185" spans="1:13" ht="15.75" customHeight="1">
      <c r="A185" s="31"/>
      <c r="F185" s="31"/>
      <c r="J185" s="20"/>
      <c r="K185" s="20"/>
      <c r="L185" s="37"/>
      <c r="M185" s="20"/>
    </row>
    <row r="186" spans="1:13" ht="15.75" customHeight="1">
      <c r="A186" s="31"/>
      <c r="F186" s="31"/>
      <c r="J186" s="20"/>
      <c r="K186" s="20"/>
      <c r="L186" s="37"/>
      <c r="M186" s="20"/>
    </row>
    <row r="187" spans="1:13" ht="15.75" customHeight="1">
      <c r="A187" s="31"/>
      <c r="F187" s="31"/>
      <c r="J187" s="20"/>
      <c r="K187" s="20"/>
      <c r="L187" s="37"/>
      <c r="M187" s="20"/>
    </row>
    <row r="188" spans="1:13" ht="15.75" customHeight="1">
      <c r="A188" s="31"/>
      <c r="F188" s="31"/>
      <c r="J188" s="20"/>
      <c r="K188" s="20"/>
      <c r="L188" s="37"/>
      <c r="M188" s="20"/>
    </row>
    <row r="189" spans="1:13" ht="15.75" customHeight="1">
      <c r="A189" s="31"/>
      <c r="F189" s="31"/>
      <c r="J189" s="20"/>
      <c r="K189" s="20"/>
      <c r="L189" s="37"/>
      <c r="M189" s="20"/>
    </row>
    <row r="190" spans="1:13" ht="15.75" customHeight="1">
      <c r="A190" s="31"/>
      <c r="F190" s="31"/>
      <c r="J190" s="20"/>
      <c r="K190" s="20"/>
      <c r="L190" s="37"/>
      <c r="M190" s="20"/>
    </row>
    <row r="191" spans="1:13" ht="15.75" customHeight="1">
      <c r="A191" s="31"/>
      <c r="F191" s="31"/>
      <c r="J191" s="20"/>
      <c r="K191" s="20"/>
      <c r="L191" s="37"/>
      <c r="M191" s="20"/>
    </row>
    <row r="192" spans="1:13" ht="15.75" customHeight="1">
      <c r="A192" s="31"/>
      <c r="F192" s="31"/>
      <c r="J192" s="20"/>
      <c r="K192" s="20"/>
      <c r="L192" s="37"/>
      <c r="M192" s="20"/>
    </row>
    <row r="193" spans="1:13" ht="15.75" customHeight="1">
      <c r="A193" s="31"/>
      <c r="F193" s="31"/>
      <c r="J193" s="20"/>
      <c r="K193" s="20"/>
      <c r="L193" s="37"/>
      <c r="M193" s="20"/>
    </row>
    <row r="194" spans="1:13" ht="15.75" customHeight="1">
      <c r="A194" s="31"/>
      <c r="F194" s="31"/>
      <c r="J194" s="20"/>
      <c r="K194" s="20"/>
      <c r="L194" s="37"/>
      <c r="M194" s="20"/>
    </row>
    <row r="195" spans="1:13" ht="15.75" customHeight="1">
      <c r="A195" s="31"/>
      <c r="F195" s="31"/>
      <c r="J195" s="20"/>
      <c r="K195" s="20"/>
      <c r="L195" s="37"/>
      <c r="M195" s="20"/>
    </row>
    <row r="196" spans="1:13" ht="15.75" customHeight="1">
      <c r="A196" s="31"/>
      <c r="F196" s="31"/>
      <c r="J196" s="20"/>
      <c r="K196" s="20"/>
      <c r="L196" s="37"/>
      <c r="M196" s="20"/>
    </row>
    <row r="197" spans="1:13" ht="15.75" customHeight="1">
      <c r="A197" s="31"/>
      <c r="F197" s="31"/>
      <c r="J197" s="20"/>
      <c r="K197" s="20"/>
      <c r="L197" s="37"/>
      <c r="M197" s="20"/>
    </row>
    <row r="198" spans="1:13" ht="15.75" customHeight="1">
      <c r="A198" s="31"/>
      <c r="F198" s="31"/>
      <c r="J198" s="20"/>
      <c r="K198" s="20"/>
      <c r="L198" s="37"/>
      <c r="M198" s="20"/>
    </row>
    <row r="199" spans="1:13" ht="15.75" customHeight="1">
      <c r="A199" s="31"/>
      <c r="F199" s="31"/>
      <c r="J199" s="20"/>
      <c r="K199" s="20"/>
      <c r="L199" s="37"/>
      <c r="M199" s="20"/>
    </row>
    <row r="200" spans="1:13" ht="15.75" customHeight="1">
      <c r="A200" s="31"/>
      <c r="F200" s="31"/>
      <c r="J200" s="20"/>
      <c r="K200" s="20"/>
      <c r="L200" s="37"/>
      <c r="M200" s="20"/>
    </row>
    <row r="201" spans="1:13" ht="15.75" customHeight="1">
      <c r="A201" s="31"/>
      <c r="F201" s="31"/>
      <c r="J201" s="20"/>
      <c r="K201" s="20"/>
      <c r="L201" s="37"/>
      <c r="M201" s="20"/>
    </row>
    <row r="202" spans="1:13" ht="15.75" customHeight="1">
      <c r="A202" s="31"/>
      <c r="F202" s="31"/>
      <c r="J202" s="20"/>
      <c r="K202" s="20"/>
      <c r="L202" s="37"/>
      <c r="M202" s="20"/>
    </row>
    <row r="203" spans="1:13" ht="15.75" customHeight="1">
      <c r="A203" s="31"/>
      <c r="F203" s="31"/>
      <c r="J203" s="20"/>
      <c r="K203" s="20"/>
      <c r="L203" s="37"/>
      <c r="M203" s="20"/>
    </row>
    <row r="204" spans="1:13" ht="15.75" customHeight="1">
      <c r="A204" s="31"/>
      <c r="F204" s="31"/>
      <c r="J204" s="20"/>
      <c r="K204" s="20"/>
      <c r="L204" s="37"/>
      <c r="M204" s="20"/>
    </row>
    <row r="205" spans="1:13" ht="15.75" customHeight="1">
      <c r="A205" s="31"/>
      <c r="F205" s="31"/>
      <c r="J205" s="20"/>
      <c r="K205" s="20"/>
      <c r="L205" s="37"/>
      <c r="M205" s="20"/>
    </row>
    <row r="206" spans="1:13" ht="15.75" customHeight="1">
      <c r="A206" s="31"/>
      <c r="F206" s="31"/>
      <c r="J206" s="20"/>
      <c r="K206" s="20"/>
      <c r="L206" s="37"/>
      <c r="M206" s="20"/>
    </row>
    <row r="207" spans="1:13" ht="15.75" customHeight="1">
      <c r="A207" s="31"/>
      <c r="F207" s="31"/>
      <c r="J207" s="20"/>
      <c r="K207" s="20"/>
      <c r="L207" s="37"/>
      <c r="M207" s="20"/>
    </row>
    <row r="208" spans="1:13" ht="15.75" customHeight="1">
      <c r="A208" s="31"/>
      <c r="F208" s="31"/>
      <c r="J208" s="20"/>
      <c r="K208" s="20"/>
      <c r="L208" s="37"/>
      <c r="M208" s="20"/>
    </row>
    <row r="209" spans="1:13" ht="15.75" customHeight="1">
      <c r="A209" s="31"/>
      <c r="F209" s="31"/>
      <c r="J209" s="20"/>
      <c r="K209" s="20"/>
      <c r="L209" s="37"/>
      <c r="M209" s="20"/>
    </row>
    <row r="210" spans="1:13" ht="15.75" customHeight="1">
      <c r="A210" s="31"/>
      <c r="F210" s="31"/>
      <c r="J210" s="20"/>
      <c r="K210" s="20"/>
      <c r="L210" s="37"/>
      <c r="M210" s="20"/>
    </row>
    <row r="211" spans="1:13" ht="15.75" customHeight="1">
      <c r="A211" s="31"/>
      <c r="F211" s="31"/>
      <c r="J211" s="20"/>
      <c r="K211" s="20"/>
      <c r="L211" s="37"/>
      <c r="M211" s="20"/>
    </row>
    <row r="212" spans="1:13" ht="15.75" customHeight="1">
      <c r="A212" s="31"/>
      <c r="F212" s="31"/>
      <c r="J212" s="20"/>
      <c r="K212" s="20"/>
      <c r="L212" s="37"/>
      <c r="M212" s="20"/>
    </row>
    <row r="213" spans="1:13" ht="15.75" customHeight="1">
      <c r="A213" s="31"/>
      <c r="F213" s="31"/>
      <c r="J213" s="20"/>
      <c r="K213" s="20"/>
      <c r="L213" s="37"/>
      <c r="M213" s="20"/>
    </row>
    <row r="214" spans="1:13" ht="15.75" customHeight="1">
      <c r="A214" s="31"/>
      <c r="F214" s="31"/>
      <c r="J214" s="20"/>
      <c r="K214" s="20"/>
      <c r="L214" s="37"/>
      <c r="M214" s="20"/>
    </row>
    <row r="215" spans="1:13" ht="15.75" customHeight="1">
      <c r="A215" s="31"/>
      <c r="F215" s="31"/>
      <c r="J215" s="20"/>
      <c r="K215" s="20"/>
      <c r="L215" s="37"/>
      <c r="M215" s="20"/>
    </row>
    <row r="216" spans="1:13" ht="15.75" customHeight="1">
      <c r="A216" s="31"/>
      <c r="F216" s="31"/>
      <c r="J216" s="20"/>
      <c r="K216" s="20"/>
      <c r="L216" s="37"/>
      <c r="M216" s="20"/>
    </row>
    <row r="217" spans="1:13" ht="15.75" customHeight="1">
      <c r="A217" s="31"/>
      <c r="F217" s="31"/>
      <c r="J217" s="20"/>
      <c r="K217" s="20"/>
      <c r="L217" s="37"/>
      <c r="M217" s="20"/>
    </row>
    <row r="218" spans="1:13" ht="15.75" customHeight="1">
      <c r="A218" s="31"/>
      <c r="F218" s="31"/>
      <c r="J218" s="20"/>
      <c r="K218" s="20"/>
      <c r="L218" s="37"/>
      <c r="M218" s="20"/>
    </row>
    <row r="219" spans="1:13" ht="15.75" customHeight="1">
      <c r="A219" s="31"/>
      <c r="F219" s="31"/>
      <c r="J219" s="20"/>
      <c r="K219" s="20"/>
      <c r="L219" s="37"/>
      <c r="M219" s="20"/>
    </row>
    <row r="220" spans="1:13" ht="15.75" customHeight="1">
      <c r="A220" s="31"/>
      <c r="F220" s="31"/>
      <c r="J220" s="20"/>
      <c r="K220" s="20"/>
      <c r="L220" s="37"/>
      <c r="M220" s="20"/>
    </row>
    <row r="221" spans="1:13" ht="15.75" customHeight="1">
      <c r="A221" s="31"/>
      <c r="F221" s="31"/>
      <c r="J221" s="20"/>
      <c r="K221" s="20"/>
      <c r="L221" s="37"/>
      <c r="M221" s="20"/>
    </row>
    <row r="222" spans="1:13" ht="15.75" customHeight="1">
      <c r="A222" s="31"/>
      <c r="F222" s="31"/>
      <c r="J222" s="20"/>
      <c r="K222" s="20"/>
      <c r="L222" s="37"/>
      <c r="M222" s="20"/>
    </row>
    <row r="223" spans="1:13" ht="15.75" customHeight="1">
      <c r="A223" s="31"/>
      <c r="F223" s="31"/>
      <c r="J223" s="20"/>
      <c r="K223" s="20"/>
      <c r="L223" s="37"/>
      <c r="M223" s="20"/>
    </row>
    <row r="224" spans="1:13" ht="15.75" customHeight="1">
      <c r="A224" s="31"/>
      <c r="F224" s="31"/>
      <c r="J224" s="20"/>
      <c r="K224" s="20"/>
      <c r="L224" s="37"/>
      <c r="M224" s="20"/>
    </row>
    <row r="225" spans="1:13" ht="15.75" customHeight="1">
      <c r="A225" s="31"/>
      <c r="F225" s="31"/>
      <c r="J225" s="20"/>
      <c r="K225" s="20"/>
      <c r="L225" s="37"/>
      <c r="M225" s="20"/>
    </row>
    <row r="226" spans="1:13" ht="15.75" customHeight="1">
      <c r="A226" s="31"/>
      <c r="F226" s="31"/>
      <c r="J226" s="20"/>
      <c r="K226" s="20"/>
      <c r="L226" s="37"/>
      <c r="M226" s="20"/>
    </row>
    <row r="227" spans="1:13" ht="15.75" customHeight="1">
      <c r="A227" s="31"/>
      <c r="F227" s="31"/>
      <c r="J227" s="20"/>
      <c r="K227" s="20"/>
      <c r="L227" s="37"/>
      <c r="M227" s="20"/>
    </row>
    <row r="228" spans="1:13" ht="15.75" customHeight="1">
      <c r="A228" s="31"/>
      <c r="F228" s="31"/>
      <c r="J228" s="20"/>
      <c r="K228" s="20"/>
      <c r="L228" s="37"/>
      <c r="M228" s="20"/>
    </row>
    <row r="229" spans="1:13" ht="15.75" customHeight="1">
      <c r="A229" s="31"/>
      <c r="F229" s="31"/>
      <c r="J229" s="20"/>
      <c r="K229" s="20"/>
      <c r="L229" s="37"/>
      <c r="M229" s="20"/>
    </row>
    <row r="230" spans="1:13" ht="15.75" customHeight="1">
      <c r="A230" s="31"/>
      <c r="F230" s="31"/>
      <c r="J230" s="20"/>
      <c r="K230" s="20"/>
      <c r="L230" s="37"/>
      <c r="M230" s="20"/>
    </row>
    <row r="231" spans="1:13" ht="15.75" customHeight="1">
      <c r="A231" s="31"/>
      <c r="F231" s="31"/>
      <c r="J231" s="20"/>
      <c r="K231" s="20"/>
      <c r="L231" s="37"/>
      <c r="M231" s="20"/>
    </row>
    <row r="232" spans="1:13" ht="15.75" customHeight="1">
      <c r="A232" s="31"/>
      <c r="F232" s="31"/>
      <c r="J232" s="20"/>
      <c r="K232" s="20"/>
      <c r="L232" s="37"/>
      <c r="M232" s="20"/>
    </row>
    <row r="233" spans="1:13" ht="15.75" customHeight="1">
      <c r="A233" s="31"/>
      <c r="F233" s="31"/>
      <c r="J233" s="20"/>
      <c r="K233" s="20"/>
      <c r="L233" s="37"/>
      <c r="M233" s="20"/>
    </row>
    <row r="234" spans="1:13" ht="15.75" customHeight="1">
      <c r="A234" s="31"/>
      <c r="F234" s="31"/>
      <c r="J234" s="20"/>
      <c r="K234" s="20"/>
      <c r="L234" s="37"/>
      <c r="M234" s="20"/>
    </row>
    <row r="235" spans="1:13" ht="15.75" customHeight="1">
      <c r="A235" s="31"/>
      <c r="F235" s="31"/>
      <c r="J235" s="20"/>
      <c r="K235" s="20"/>
      <c r="L235" s="37"/>
      <c r="M235" s="20"/>
    </row>
    <row r="236" spans="1:13" ht="15.75" customHeight="1">
      <c r="A236" s="31"/>
      <c r="F236" s="31"/>
      <c r="J236" s="20"/>
      <c r="K236" s="20"/>
      <c r="L236" s="37"/>
      <c r="M236" s="20"/>
    </row>
    <row r="237" spans="1:13" ht="15.75" customHeight="1">
      <c r="A237" s="31"/>
      <c r="F237" s="31"/>
      <c r="J237" s="20"/>
      <c r="K237" s="20"/>
      <c r="L237" s="37"/>
      <c r="M237" s="20"/>
    </row>
    <row r="238" spans="1:13" ht="15.75" customHeight="1">
      <c r="A238" s="31"/>
      <c r="F238" s="31"/>
      <c r="J238" s="20"/>
      <c r="K238" s="20"/>
      <c r="L238" s="37"/>
      <c r="M238" s="20"/>
    </row>
    <row r="239" spans="1:13" ht="15.75" customHeight="1">
      <c r="A239" s="31"/>
      <c r="F239" s="31"/>
      <c r="J239" s="20"/>
      <c r="K239" s="20"/>
      <c r="L239" s="37"/>
      <c r="M239" s="20"/>
    </row>
    <row r="240" spans="1:13" ht="15.75" customHeight="1">
      <c r="A240" s="31"/>
      <c r="F240" s="31"/>
      <c r="J240" s="20"/>
      <c r="K240" s="20"/>
      <c r="L240" s="37"/>
      <c r="M240" s="20"/>
    </row>
    <row r="241" spans="1:13" ht="15.75" customHeight="1">
      <c r="A241" s="31"/>
      <c r="F241" s="31"/>
      <c r="J241" s="20"/>
      <c r="K241" s="20"/>
      <c r="L241" s="37"/>
      <c r="M241" s="20"/>
    </row>
    <row r="242" spans="1:13" ht="15.75" customHeight="1">
      <c r="A242" s="31"/>
      <c r="F242" s="31"/>
      <c r="J242" s="20"/>
      <c r="K242" s="20"/>
      <c r="L242" s="37"/>
      <c r="M242" s="20"/>
    </row>
    <row r="243" spans="1:13" ht="15.75" customHeight="1">
      <c r="A243" s="31"/>
      <c r="F243" s="31"/>
      <c r="J243" s="20"/>
      <c r="K243" s="20"/>
      <c r="L243" s="37"/>
      <c r="M243" s="20"/>
    </row>
    <row r="244" spans="1:13" ht="15.75" customHeight="1">
      <c r="A244" s="31"/>
      <c r="F244" s="31"/>
      <c r="J244" s="20"/>
      <c r="K244" s="20"/>
      <c r="L244" s="37"/>
      <c r="M244" s="20"/>
    </row>
    <row r="245" spans="1:13" ht="15.75" customHeight="1">
      <c r="A245" s="31"/>
      <c r="F245" s="31"/>
      <c r="J245" s="20"/>
      <c r="K245" s="20"/>
      <c r="L245" s="37"/>
      <c r="M245" s="20"/>
    </row>
    <row r="246" spans="1:13" ht="15.75" customHeight="1">
      <c r="A246" s="31"/>
      <c r="F246" s="31"/>
      <c r="J246" s="20"/>
      <c r="K246" s="20"/>
      <c r="L246" s="37"/>
      <c r="M246" s="20"/>
    </row>
    <row r="247" spans="1:13" ht="15.75" customHeight="1">
      <c r="A247" s="31"/>
      <c r="F247" s="31"/>
      <c r="J247" s="20"/>
      <c r="K247" s="20"/>
      <c r="L247" s="37"/>
      <c r="M247" s="20"/>
    </row>
    <row r="248" spans="1:13" ht="15.75" customHeight="1">
      <c r="A248" s="31"/>
      <c r="F248" s="31"/>
      <c r="J248" s="20"/>
      <c r="K248" s="20"/>
      <c r="L248" s="37"/>
      <c r="M248" s="20"/>
    </row>
    <row r="249" spans="1:13" ht="15.75" customHeight="1">
      <c r="A249" s="31"/>
      <c r="F249" s="31"/>
      <c r="J249" s="20"/>
      <c r="K249" s="20"/>
      <c r="L249" s="37"/>
      <c r="M249" s="20"/>
    </row>
    <row r="250" spans="1:13" ht="15.75" customHeight="1">
      <c r="A250" s="31"/>
      <c r="F250" s="31"/>
      <c r="J250" s="20"/>
      <c r="K250" s="20"/>
      <c r="L250" s="37"/>
      <c r="M250" s="20"/>
    </row>
    <row r="251" spans="1:13" ht="15.75" customHeight="1">
      <c r="A251" s="31"/>
      <c r="F251" s="31"/>
      <c r="J251" s="20"/>
      <c r="K251" s="20"/>
      <c r="L251" s="37"/>
      <c r="M251" s="20"/>
    </row>
    <row r="252" spans="1:13" ht="15.75" customHeight="1">
      <c r="A252" s="31"/>
      <c r="F252" s="31"/>
      <c r="J252" s="20"/>
      <c r="K252" s="20"/>
      <c r="L252" s="37"/>
      <c r="M252" s="20"/>
    </row>
    <row r="253" spans="1:13" ht="15.75" customHeight="1">
      <c r="A253" s="31"/>
      <c r="F253" s="31"/>
      <c r="J253" s="20"/>
      <c r="K253" s="20"/>
      <c r="L253" s="37"/>
      <c r="M253" s="20"/>
    </row>
    <row r="254" spans="1:13" ht="15.75" customHeight="1">
      <c r="A254" s="31"/>
      <c r="F254" s="31"/>
      <c r="J254" s="20"/>
      <c r="K254" s="20"/>
      <c r="L254" s="37"/>
      <c r="M254" s="20"/>
    </row>
    <row r="255" spans="1:13" ht="15.75" customHeight="1">
      <c r="A255" s="31"/>
      <c r="F255" s="31"/>
      <c r="J255" s="20"/>
      <c r="K255" s="20"/>
      <c r="L255" s="37"/>
      <c r="M255" s="20"/>
    </row>
    <row r="256" spans="1:13" ht="15.75" customHeight="1">
      <c r="A256" s="31"/>
      <c r="F256" s="31"/>
      <c r="J256" s="20"/>
      <c r="K256" s="20"/>
      <c r="L256" s="37"/>
      <c r="M256" s="20"/>
    </row>
    <row r="257" spans="1:13" ht="15.75" customHeight="1">
      <c r="A257" s="31"/>
      <c r="F257" s="31"/>
      <c r="J257" s="20"/>
      <c r="K257" s="20"/>
      <c r="L257" s="37"/>
      <c r="M257" s="20"/>
    </row>
    <row r="258" spans="1:13" ht="15.75" customHeight="1">
      <c r="A258" s="31"/>
      <c r="F258" s="31"/>
      <c r="J258" s="20"/>
      <c r="K258" s="20"/>
      <c r="L258" s="37"/>
      <c r="M258" s="20"/>
    </row>
    <row r="259" spans="1:13" ht="15.75" customHeight="1">
      <c r="A259" s="31"/>
      <c r="F259" s="31"/>
      <c r="J259" s="20"/>
      <c r="K259" s="20"/>
      <c r="L259" s="37"/>
      <c r="M259" s="20"/>
    </row>
    <row r="260" spans="1:13" ht="15.75" customHeight="1">
      <c r="A260" s="31"/>
      <c r="F260" s="31"/>
      <c r="J260" s="20"/>
      <c r="K260" s="20"/>
      <c r="L260" s="37"/>
      <c r="M260" s="20"/>
    </row>
    <row r="261" spans="1:13" ht="15.75" customHeight="1">
      <c r="A261" s="31"/>
      <c r="F261" s="31"/>
      <c r="J261" s="20"/>
      <c r="K261" s="20"/>
      <c r="L261" s="37"/>
      <c r="M261" s="20"/>
    </row>
    <row r="262" spans="1:13" ht="15.75" customHeight="1">
      <c r="A262" s="31"/>
      <c r="F262" s="31"/>
      <c r="J262" s="20"/>
      <c r="K262" s="20"/>
      <c r="L262" s="37"/>
      <c r="M262" s="20"/>
    </row>
    <row r="263" spans="1:13" ht="15.75" customHeight="1">
      <c r="A263" s="31"/>
      <c r="F263" s="31"/>
      <c r="J263" s="20"/>
      <c r="K263" s="20"/>
      <c r="L263" s="37"/>
      <c r="M263" s="20"/>
    </row>
    <row r="264" spans="1:13" ht="15.75" customHeight="1">
      <c r="A264" s="31"/>
      <c r="F264" s="31"/>
      <c r="J264" s="20"/>
      <c r="K264" s="20"/>
      <c r="L264" s="37"/>
      <c r="M264" s="20"/>
    </row>
    <row r="265" spans="1:13" ht="15.75" customHeight="1">
      <c r="A265" s="31"/>
      <c r="F265" s="31"/>
      <c r="J265" s="20"/>
      <c r="K265" s="20"/>
      <c r="L265" s="37"/>
      <c r="M265" s="20"/>
    </row>
    <row r="266" spans="1:13" ht="15.75" customHeight="1">
      <c r="A266" s="31"/>
      <c r="F266" s="31"/>
      <c r="J266" s="20"/>
      <c r="K266" s="20"/>
      <c r="L266" s="37"/>
      <c r="M266" s="20"/>
    </row>
    <row r="267" spans="1:13" ht="15.75" customHeight="1">
      <c r="A267" s="31"/>
      <c r="F267" s="31"/>
      <c r="J267" s="20"/>
      <c r="K267" s="20"/>
      <c r="L267" s="37"/>
      <c r="M267" s="20"/>
    </row>
    <row r="268" spans="1:13" ht="15.75" customHeight="1">
      <c r="A268" s="31"/>
      <c r="F268" s="31"/>
      <c r="J268" s="20"/>
      <c r="K268" s="20"/>
      <c r="L268" s="37"/>
      <c r="M268" s="20"/>
    </row>
    <row r="269" spans="1:13" ht="15.75" customHeight="1">
      <c r="A269" s="31"/>
      <c r="F269" s="31"/>
      <c r="J269" s="20"/>
      <c r="K269" s="20"/>
      <c r="L269" s="37"/>
      <c r="M269" s="20"/>
    </row>
    <row r="270" spans="1:13" ht="15.75" customHeight="1">
      <c r="A270" s="31"/>
      <c r="F270" s="31"/>
      <c r="J270" s="20"/>
      <c r="K270" s="20"/>
      <c r="L270" s="37"/>
      <c r="M270" s="20"/>
    </row>
    <row r="271" spans="1:13" ht="15.75" customHeight="1">
      <c r="A271" s="31"/>
      <c r="F271" s="31"/>
      <c r="J271" s="20"/>
      <c r="K271" s="20"/>
      <c r="L271" s="37"/>
      <c r="M271" s="20"/>
    </row>
    <row r="272" spans="1:13" ht="15.75" customHeight="1">
      <c r="A272" s="31"/>
      <c r="F272" s="31"/>
      <c r="J272" s="20"/>
      <c r="K272" s="20"/>
      <c r="L272" s="37"/>
      <c r="M272" s="20"/>
    </row>
    <row r="273" spans="1:13" ht="15.75" customHeight="1">
      <c r="A273" s="31"/>
      <c r="F273" s="31"/>
      <c r="J273" s="20"/>
      <c r="K273" s="20"/>
      <c r="L273" s="37"/>
      <c r="M273" s="20"/>
    </row>
    <row r="274" spans="1:13" ht="15.75" customHeight="1">
      <c r="A274" s="31"/>
      <c r="F274" s="31"/>
      <c r="J274" s="20"/>
      <c r="K274" s="20"/>
      <c r="L274" s="37"/>
      <c r="M274" s="20"/>
    </row>
    <row r="275" spans="1:13" ht="15.75" customHeight="1">
      <c r="A275" s="31"/>
      <c r="F275" s="31"/>
      <c r="J275" s="20"/>
      <c r="K275" s="20"/>
      <c r="L275" s="37"/>
      <c r="M275" s="20"/>
    </row>
    <row r="276" spans="1:13" ht="15.75" customHeight="1">
      <c r="A276" s="31"/>
      <c r="F276" s="31"/>
      <c r="J276" s="20"/>
      <c r="K276" s="20"/>
      <c r="L276" s="37"/>
      <c r="M276" s="20"/>
    </row>
    <row r="277" spans="1:13" ht="15.75" customHeight="1">
      <c r="A277" s="31"/>
      <c r="F277" s="31"/>
      <c r="J277" s="20"/>
      <c r="K277" s="20"/>
      <c r="L277" s="37"/>
      <c r="M277" s="20"/>
    </row>
    <row r="278" spans="1:13" ht="15.75" customHeight="1">
      <c r="A278" s="31"/>
      <c r="F278" s="31"/>
      <c r="J278" s="20"/>
      <c r="K278" s="20"/>
      <c r="L278" s="37"/>
      <c r="M278" s="20"/>
    </row>
    <row r="279" spans="1:13" ht="15.75" customHeight="1">
      <c r="A279" s="31"/>
      <c r="F279" s="31"/>
      <c r="J279" s="20"/>
      <c r="K279" s="20"/>
      <c r="L279" s="37"/>
      <c r="M279" s="20"/>
    </row>
    <row r="280" spans="1:13" ht="15.75" customHeight="1">
      <c r="A280" s="31"/>
      <c r="F280" s="31"/>
      <c r="J280" s="20"/>
      <c r="K280" s="20"/>
      <c r="L280" s="37"/>
      <c r="M280" s="20"/>
    </row>
    <row r="281" spans="1:13" ht="15.75" customHeight="1">
      <c r="A281" s="31"/>
      <c r="F281" s="31"/>
      <c r="J281" s="20"/>
      <c r="K281" s="20"/>
      <c r="L281" s="37"/>
      <c r="M281" s="20"/>
    </row>
    <row r="282" spans="1:13" ht="15.75" customHeight="1">
      <c r="A282" s="31"/>
      <c r="F282" s="31"/>
      <c r="J282" s="20"/>
      <c r="K282" s="20"/>
      <c r="L282" s="37"/>
      <c r="M282" s="20"/>
    </row>
    <row r="283" spans="1:13" ht="15.75" customHeight="1">
      <c r="A283" s="31"/>
      <c r="F283" s="31"/>
      <c r="J283" s="20"/>
      <c r="K283" s="20"/>
      <c r="L283" s="37"/>
      <c r="M283" s="20"/>
    </row>
    <row r="284" spans="1:13" ht="15.75" customHeight="1">
      <c r="A284" s="31"/>
      <c r="F284" s="31"/>
      <c r="J284" s="20"/>
      <c r="K284" s="20"/>
      <c r="L284" s="37"/>
      <c r="M284" s="20"/>
    </row>
    <row r="285" spans="1:13" ht="15.75" customHeight="1">
      <c r="A285" s="31"/>
      <c r="F285" s="31"/>
      <c r="J285" s="20"/>
      <c r="K285" s="20"/>
      <c r="L285" s="37"/>
      <c r="M285" s="20"/>
    </row>
    <row r="286" spans="1:13" ht="15.75" customHeight="1">
      <c r="A286" s="31"/>
      <c r="F286" s="31"/>
      <c r="J286" s="20"/>
      <c r="K286" s="20"/>
      <c r="L286" s="37"/>
      <c r="M286" s="20"/>
    </row>
    <row r="287" spans="1:13" ht="15.75" customHeight="1">
      <c r="A287" s="31"/>
      <c r="F287" s="31"/>
      <c r="J287" s="20"/>
      <c r="K287" s="20"/>
      <c r="L287" s="37"/>
      <c r="M287" s="20"/>
    </row>
    <row r="288" spans="1:13" ht="15.75" customHeight="1">
      <c r="A288" s="31"/>
      <c r="F288" s="31"/>
      <c r="J288" s="20"/>
      <c r="K288" s="20"/>
      <c r="L288" s="37"/>
      <c r="M288" s="20"/>
    </row>
    <row r="289" spans="1:13" ht="15.75" customHeight="1">
      <c r="A289" s="31"/>
      <c r="F289" s="31"/>
      <c r="J289" s="20"/>
      <c r="K289" s="20"/>
      <c r="L289" s="37"/>
      <c r="M289" s="20"/>
    </row>
    <row r="290" spans="1:13" ht="15.75" customHeight="1">
      <c r="A290" s="31"/>
      <c r="F290" s="31"/>
      <c r="J290" s="20"/>
      <c r="K290" s="20"/>
      <c r="L290" s="37"/>
      <c r="M290" s="20"/>
    </row>
    <row r="291" spans="1:13" ht="15.75" customHeight="1">
      <c r="A291" s="31"/>
      <c r="F291" s="31"/>
      <c r="J291" s="20"/>
      <c r="K291" s="20"/>
      <c r="L291" s="37"/>
      <c r="M291" s="20"/>
    </row>
    <row r="292" spans="1:13" ht="15.75" customHeight="1">
      <c r="A292" s="31"/>
      <c r="F292" s="31"/>
      <c r="J292" s="20"/>
      <c r="K292" s="20"/>
      <c r="L292" s="37"/>
      <c r="M292" s="20"/>
    </row>
    <row r="293" spans="1:13" ht="15.75" customHeight="1">
      <c r="A293" s="31"/>
      <c r="F293" s="31"/>
      <c r="J293" s="20"/>
      <c r="K293" s="20"/>
      <c r="L293" s="37"/>
      <c r="M293" s="20"/>
    </row>
    <row r="294" spans="1:13" ht="15.75" customHeight="1">
      <c r="A294" s="31"/>
      <c r="F294" s="31"/>
      <c r="J294" s="20"/>
      <c r="K294" s="20"/>
      <c r="L294" s="37"/>
      <c r="M294" s="20"/>
    </row>
    <row r="295" spans="1:13" ht="15.75" customHeight="1">
      <c r="A295" s="31"/>
      <c r="F295" s="31"/>
      <c r="J295" s="20"/>
      <c r="K295" s="20"/>
      <c r="L295" s="37"/>
      <c r="M295" s="20"/>
    </row>
    <row r="296" spans="1:13" ht="15.75" customHeight="1">
      <c r="A296" s="31"/>
      <c r="F296" s="31"/>
      <c r="J296" s="20"/>
      <c r="K296" s="20"/>
      <c r="L296" s="37"/>
      <c r="M296" s="20"/>
    </row>
    <row r="297" spans="1:13" ht="15.75" customHeight="1">
      <c r="A297" s="31"/>
      <c r="F297" s="31"/>
      <c r="J297" s="20"/>
      <c r="K297" s="20"/>
      <c r="L297" s="37"/>
      <c r="M297" s="20"/>
    </row>
    <row r="298" spans="1:13" ht="15.75" customHeight="1"/>
    <row r="299" spans="1:13" ht="15.75" customHeight="1"/>
    <row r="300" spans="1:13" ht="15.75" customHeight="1"/>
    <row r="301" spans="1:13" ht="15.75" customHeight="1"/>
    <row r="302" spans="1:13" ht="15.75" customHeight="1"/>
    <row r="303" spans="1:13" ht="15.75" customHeight="1"/>
    <row r="304" spans="1:13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21">
    <mergeCell ref="G97:G98"/>
    <mergeCell ref="G85:G86"/>
    <mergeCell ref="G87:G88"/>
    <mergeCell ref="G89:G90"/>
    <mergeCell ref="C5:C23"/>
    <mergeCell ref="D5:D23"/>
    <mergeCell ref="A26:D26"/>
    <mergeCell ref="C29:C46"/>
    <mergeCell ref="D29:D46"/>
    <mergeCell ref="H89:H90"/>
    <mergeCell ref="G91:G92"/>
    <mergeCell ref="G95:G96"/>
    <mergeCell ref="H95:H96"/>
    <mergeCell ref="H85:H86"/>
    <mergeCell ref="H87:H88"/>
    <mergeCell ref="N2:Q2"/>
    <mergeCell ref="A1:D1"/>
    <mergeCell ref="F1:I1"/>
    <mergeCell ref="N1:Q1"/>
    <mergeCell ref="A2:D2"/>
    <mergeCell ref="F2:I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999"/>
  <sheetViews>
    <sheetView zoomScaleNormal="100" workbookViewId="0">
      <pane ySplit="1" topLeftCell="A2" activePane="bottomLeft" state="frozen"/>
      <selection pane="bottomLeft" activeCell="C2" sqref="C2:G6"/>
    </sheetView>
  </sheetViews>
  <sheetFormatPr defaultColWidth="14.44140625" defaultRowHeight="15" customHeight="1"/>
  <cols>
    <col min="1" max="1" width="8.77734375" customWidth="1"/>
    <col min="2" max="2" width="31.109375" bestFit="1" customWidth="1"/>
    <col min="3" max="3" width="11.77734375" customWidth="1"/>
    <col min="4" max="4" width="13" customWidth="1"/>
    <col min="5" max="5" width="19.77734375" customWidth="1"/>
    <col min="6" max="6" width="14.5546875" customWidth="1"/>
    <col min="7" max="7" width="19.21875" customWidth="1"/>
    <col min="8" max="11" width="8.77734375" customWidth="1"/>
    <col min="12" max="12" width="12" customWidth="1"/>
    <col min="13" max="18" width="8.77734375" customWidth="1"/>
  </cols>
  <sheetData>
    <row r="1" spans="1:18" ht="14.4">
      <c r="A1" s="93" t="s">
        <v>80</v>
      </c>
      <c r="B1" s="89"/>
      <c r="C1" s="89"/>
      <c r="D1" s="89"/>
      <c r="E1" s="31"/>
      <c r="F1" s="29"/>
      <c r="G1" s="29"/>
      <c r="H1" s="4"/>
      <c r="O1" s="5"/>
      <c r="P1" s="5"/>
      <c r="Q1" s="5"/>
      <c r="R1" s="5"/>
    </row>
    <row r="2" spans="1:18" ht="14.4">
      <c r="A2" s="6" t="s">
        <v>0</v>
      </c>
      <c r="B2" s="3" t="s">
        <v>1</v>
      </c>
      <c r="C2" s="89"/>
      <c r="D2" s="89"/>
      <c r="E2" s="89"/>
      <c r="F2" s="89"/>
      <c r="G2" s="89"/>
      <c r="H2" s="4"/>
      <c r="O2" s="5"/>
      <c r="P2" s="5"/>
      <c r="Q2" s="5"/>
      <c r="R2" s="5"/>
    </row>
    <row r="3" spans="1:18" ht="14.4">
      <c r="A3" s="6">
        <v>0</v>
      </c>
      <c r="B3" s="3" t="s">
        <v>81</v>
      </c>
      <c r="C3" s="89"/>
      <c r="D3" s="89"/>
      <c r="E3" s="89"/>
      <c r="F3" s="89"/>
      <c r="G3" s="89"/>
      <c r="H3" s="4"/>
      <c r="O3" s="5"/>
      <c r="P3" s="5"/>
      <c r="Q3" s="5"/>
      <c r="R3" s="5"/>
    </row>
    <row r="4" spans="1:18" ht="14.4">
      <c r="A4" s="6">
        <v>1</v>
      </c>
      <c r="B4" s="3" t="s">
        <v>4</v>
      </c>
      <c r="C4" s="89"/>
      <c r="D4" s="89"/>
      <c r="E4" s="89"/>
      <c r="F4" s="89"/>
      <c r="G4" s="89"/>
      <c r="H4" s="4"/>
      <c r="I4" s="41"/>
      <c r="J4" s="42"/>
      <c r="K4" s="43"/>
      <c r="O4" s="5"/>
      <c r="P4" s="5"/>
      <c r="Q4" s="5"/>
      <c r="R4" s="5"/>
    </row>
    <row r="5" spans="1:18" ht="14.25" customHeight="1">
      <c r="B5" s="30"/>
      <c r="C5" s="89"/>
      <c r="D5" s="89"/>
      <c r="E5" s="89"/>
      <c r="F5" s="89"/>
      <c r="G5" s="89"/>
      <c r="H5" s="4"/>
      <c r="O5" s="5"/>
      <c r="P5" s="5"/>
      <c r="Q5" s="5"/>
      <c r="R5" s="5"/>
    </row>
    <row r="6" spans="1:18" ht="14.25" customHeight="1">
      <c r="B6" s="30" t="s">
        <v>82</v>
      </c>
      <c r="C6" s="89"/>
      <c r="D6" s="89"/>
      <c r="E6" s="89"/>
      <c r="F6" s="89"/>
      <c r="G6" s="89"/>
      <c r="H6" s="4"/>
      <c r="O6" s="5"/>
      <c r="P6" s="5"/>
      <c r="Q6" s="5"/>
      <c r="R6" s="5"/>
    </row>
    <row r="7" spans="1:18" ht="14.4">
      <c r="A7" s="85" t="s">
        <v>5</v>
      </c>
      <c r="B7" s="83"/>
      <c r="C7" s="83"/>
      <c r="D7" s="84"/>
      <c r="E7" s="22"/>
      <c r="F7" s="7"/>
      <c r="G7" s="7"/>
      <c r="H7" s="4"/>
      <c r="O7" s="5"/>
      <c r="P7" s="5"/>
      <c r="Q7" s="5"/>
      <c r="R7" s="5"/>
    </row>
    <row r="8" spans="1:18" ht="14.4">
      <c r="A8" s="6" t="s">
        <v>0</v>
      </c>
      <c r="B8" s="3" t="s">
        <v>1</v>
      </c>
      <c r="C8" s="7"/>
      <c r="D8" s="7"/>
      <c r="E8" s="2"/>
      <c r="F8" s="44"/>
      <c r="G8" s="45"/>
      <c r="H8" s="4"/>
      <c r="O8" s="5"/>
      <c r="P8" s="5"/>
      <c r="Q8" s="5"/>
      <c r="R8" s="5"/>
    </row>
    <row r="9" spans="1:18" ht="14.4">
      <c r="A9" s="6">
        <v>0</v>
      </c>
      <c r="B9" s="3" t="s">
        <v>83</v>
      </c>
      <c r="C9" s="7"/>
      <c r="D9" s="7"/>
      <c r="E9" s="2" t="s">
        <v>84</v>
      </c>
      <c r="F9" s="44" t="s">
        <v>85</v>
      </c>
      <c r="G9" s="45" t="s">
        <v>86</v>
      </c>
      <c r="H9" s="4"/>
      <c r="O9" s="5"/>
      <c r="P9" s="5"/>
      <c r="Q9" s="5"/>
      <c r="R9" s="5"/>
    </row>
    <row r="10" spans="1:18" ht="14.4">
      <c r="A10" s="6">
        <v>1</v>
      </c>
      <c r="B10" s="3" t="s">
        <v>134</v>
      </c>
      <c r="C10" s="7" t="s">
        <v>2</v>
      </c>
      <c r="D10" s="7" t="s">
        <v>141</v>
      </c>
      <c r="E10" s="2">
        <v>2045</v>
      </c>
      <c r="F10" s="44" t="str">
        <f t="shared" ref="F10:F20" si="0">DEC2HEX(E10)</f>
        <v>7FD</v>
      </c>
      <c r="G10" s="45">
        <f>81.5*E10/4096</f>
        <v>40.6903076171875</v>
      </c>
      <c r="H10" s="4"/>
      <c r="O10" s="5"/>
      <c r="P10" s="5"/>
      <c r="Q10" s="5"/>
      <c r="R10" s="5"/>
    </row>
    <row r="11" spans="1:18" ht="14.4">
      <c r="A11" s="6">
        <v>2</v>
      </c>
      <c r="B11" s="3"/>
      <c r="C11" s="7" t="s">
        <v>3</v>
      </c>
      <c r="D11" s="7"/>
      <c r="E11" s="2"/>
      <c r="F11" s="44" t="str">
        <f t="shared" si="0"/>
        <v>0</v>
      </c>
      <c r="G11" s="45"/>
      <c r="H11" s="4"/>
      <c r="O11" s="5"/>
      <c r="P11" s="5"/>
      <c r="Q11" s="5"/>
      <c r="R11" s="5"/>
    </row>
    <row r="12" spans="1:18" ht="14.4">
      <c r="A12" s="6">
        <v>3</v>
      </c>
      <c r="B12" s="3" t="s">
        <v>6</v>
      </c>
      <c r="C12" s="7" t="s">
        <v>2</v>
      </c>
      <c r="D12" s="7" t="s">
        <v>7</v>
      </c>
      <c r="E12" s="2">
        <v>1900</v>
      </c>
      <c r="F12" s="44" t="str">
        <f t="shared" ref="F12" si="1">DEC2HEX(E12)</f>
        <v>76C</v>
      </c>
      <c r="G12" s="45">
        <f>216*E12/3939</f>
        <v>104.18888042650418</v>
      </c>
      <c r="H12" s="5"/>
      <c r="I12" s="36"/>
      <c r="O12" s="5"/>
      <c r="P12" s="5"/>
      <c r="Q12" s="5"/>
      <c r="R12" s="5"/>
    </row>
    <row r="13" spans="1:18" ht="14.4">
      <c r="A13" s="6">
        <v>4</v>
      </c>
      <c r="B13" s="3"/>
      <c r="C13" s="7" t="s">
        <v>3</v>
      </c>
      <c r="D13" s="7"/>
      <c r="E13" s="2"/>
      <c r="F13" s="44"/>
      <c r="G13" s="45"/>
      <c r="H13" s="4"/>
      <c r="O13" s="5"/>
      <c r="P13" s="5"/>
      <c r="Q13" s="5"/>
      <c r="R13" s="5"/>
    </row>
    <row r="14" spans="1:18" ht="14.4">
      <c r="A14" s="6">
        <v>5</v>
      </c>
      <c r="B14" s="3" t="s">
        <v>8</v>
      </c>
      <c r="C14" s="7" t="s">
        <v>2</v>
      </c>
      <c r="D14" s="7" t="s">
        <v>9</v>
      </c>
      <c r="E14" s="2">
        <v>2100</v>
      </c>
      <c r="F14" s="44" t="str">
        <f t="shared" ref="F14" si="2">DEC2HEX(E14)</f>
        <v>834</v>
      </c>
      <c r="G14" s="45">
        <f>69*E14/4096</f>
        <v>35.3759765625</v>
      </c>
      <c r="H14" s="46"/>
      <c r="I14" s="36"/>
      <c r="O14" s="5"/>
      <c r="P14" s="5"/>
      <c r="Q14" s="5"/>
      <c r="R14" s="5"/>
    </row>
    <row r="15" spans="1:18" ht="14.4">
      <c r="A15" s="6">
        <v>6</v>
      </c>
      <c r="B15" s="3"/>
      <c r="C15" s="7" t="s">
        <v>3</v>
      </c>
      <c r="D15" s="7"/>
      <c r="E15" s="2"/>
      <c r="F15" s="44"/>
      <c r="G15" s="45"/>
      <c r="H15" s="4"/>
      <c r="O15" s="5"/>
      <c r="P15" s="5"/>
      <c r="Q15" s="5"/>
      <c r="R15" s="5"/>
    </row>
    <row r="16" spans="1:18" ht="14.4">
      <c r="A16" s="6">
        <v>7</v>
      </c>
      <c r="B16" s="3" t="s">
        <v>139</v>
      </c>
      <c r="C16" s="7" t="s">
        <v>2</v>
      </c>
      <c r="D16" s="8"/>
      <c r="E16" s="2">
        <v>2300</v>
      </c>
      <c r="F16" s="44" t="str">
        <f t="shared" ref="F16" si="3">DEC2HEX(E16)</f>
        <v>8FC</v>
      </c>
      <c r="G16" s="45"/>
      <c r="H16" s="5"/>
      <c r="I16" s="36"/>
      <c r="O16" s="5"/>
      <c r="P16" s="5"/>
      <c r="Q16" s="5"/>
      <c r="R16" s="5"/>
    </row>
    <row r="17" spans="1:18" ht="14.4">
      <c r="A17" s="6">
        <v>8</v>
      </c>
      <c r="B17" s="3"/>
      <c r="C17" s="7" t="s">
        <v>3</v>
      </c>
      <c r="D17" s="7"/>
      <c r="E17" s="2"/>
      <c r="F17" s="44" t="str">
        <f t="shared" si="0"/>
        <v>0</v>
      </c>
      <c r="G17" s="45"/>
      <c r="H17" s="5"/>
      <c r="I17" s="36"/>
      <c r="J17" s="36"/>
      <c r="K17" s="36"/>
      <c r="L17" s="36"/>
      <c r="O17" s="5"/>
      <c r="P17" s="5"/>
      <c r="Q17" s="5"/>
      <c r="R17" s="5"/>
    </row>
    <row r="18" spans="1:18" ht="15.75" customHeight="1">
      <c r="A18" s="6">
        <v>9</v>
      </c>
      <c r="B18" s="80" t="s">
        <v>10</v>
      </c>
      <c r="C18" s="7" t="s">
        <v>2</v>
      </c>
      <c r="D18" s="7" t="s">
        <v>13</v>
      </c>
      <c r="E18" s="2">
        <v>2700</v>
      </c>
      <c r="F18" s="44" t="str">
        <f t="shared" si="0"/>
        <v>A8C</v>
      </c>
      <c r="G18" s="45">
        <f>24*E18/2366</f>
        <v>27.38799661876585</v>
      </c>
      <c r="H18" s="5"/>
      <c r="I18" s="36"/>
      <c r="O18" s="5"/>
      <c r="P18" s="5"/>
      <c r="Q18" s="5"/>
      <c r="R18" s="5"/>
    </row>
    <row r="19" spans="1:18" ht="14.4">
      <c r="A19" s="6">
        <v>10</v>
      </c>
      <c r="B19" s="3"/>
      <c r="C19" s="7" t="s">
        <v>3</v>
      </c>
      <c r="D19" s="8"/>
      <c r="E19" s="2"/>
      <c r="F19" s="44" t="str">
        <f t="shared" si="0"/>
        <v>0</v>
      </c>
      <c r="G19" s="45"/>
      <c r="H19" s="5"/>
      <c r="I19" s="36"/>
      <c r="J19" s="36"/>
      <c r="K19" s="36"/>
      <c r="M19" s="47"/>
      <c r="O19" s="5"/>
      <c r="P19" s="5"/>
      <c r="Q19" s="5"/>
      <c r="R19" s="5"/>
    </row>
    <row r="20" spans="1:18" ht="15.75" customHeight="1">
      <c r="A20" s="6">
        <v>11</v>
      </c>
      <c r="B20" s="80" t="s">
        <v>14</v>
      </c>
      <c r="C20" s="7" t="s">
        <v>2</v>
      </c>
      <c r="D20" s="7" t="s">
        <v>15</v>
      </c>
      <c r="E20" s="2">
        <v>2900</v>
      </c>
      <c r="F20" s="44" t="str">
        <f t="shared" si="0"/>
        <v>B54</v>
      </c>
      <c r="G20" s="45">
        <f>420*2900/4096</f>
        <v>297.36328125</v>
      </c>
      <c r="H20" s="46"/>
      <c r="I20" s="36"/>
      <c r="O20" s="5"/>
      <c r="P20" s="5"/>
      <c r="Q20" s="5"/>
      <c r="R20" s="5"/>
    </row>
    <row r="21" spans="1:18" ht="15.75" customHeight="1">
      <c r="A21" s="6">
        <v>12</v>
      </c>
      <c r="B21" s="3"/>
      <c r="C21" s="7"/>
      <c r="D21" s="7"/>
      <c r="E21" s="2"/>
      <c r="F21" s="44"/>
      <c r="G21" s="45"/>
      <c r="H21" s="4"/>
      <c r="O21" s="5"/>
      <c r="P21" s="5"/>
      <c r="Q21" s="5"/>
      <c r="R21" s="5"/>
    </row>
    <row r="22" spans="1:18" ht="15.75" customHeight="1">
      <c r="A22" s="6">
        <v>13</v>
      </c>
      <c r="B22" s="3" t="s">
        <v>12</v>
      </c>
      <c r="C22" s="7" t="s">
        <v>2</v>
      </c>
      <c r="D22" s="7"/>
      <c r="E22" s="48">
        <v>3100</v>
      </c>
      <c r="F22" s="44" t="str">
        <f t="shared" ref="F22" si="4">DEC2HEX(E22)</f>
        <v>C1C</v>
      </c>
      <c r="G22" s="45">
        <f>24*E22/2366</f>
        <v>31.445477599323752</v>
      </c>
      <c r="H22" s="46"/>
      <c r="I22" s="36"/>
      <c r="O22" s="5"/>
      <c r="P22" s="5"/>
      <c r="Q22" s="5"/>
      <c r="R22" s="94"/>
    </row>
    <row r="23" spans="1:18" ht="15.75" customHeight="1">
      <c r="A23" s="6">
        <v>14</v>
      </c>
      <c r="B23" s="3"/>
      <c r="C23" s="7"/>
      <c r="D23" s="7"/>
      <c r="E23" s="2"/>
      <c r="F23" s="44"/>
      <c r="G23" s="45"/>
      <c r="H23" s="5"/>
      <c r="I23" s="36"/>
      <c r="O23" s="5"/>
      <c r="P23" s="5"/>
      <c r="Q23" s="5"/>
      <c r="R23" s="94"/>
    </row>
    <row r="24" spans="1:18" ht="15.75" customHeight="1">
      <c r="A24" s="6">
        <v>15</v>
      </c>
      <c r="B24" s="81" t="s">
        <v>16</v>
      </c>
      <c r="C24" s="7" t="s">
        <v>2</v>
      </c>
      <c r="D24" s="7" t="s">
        <v>18</v>
      </c>
      <c r="E24" s="2">
        <v>1250</v>
      </c>
      <c r="F24" s="44" t="str">
        <f t="shared" ref="F24" si="5">DEC2HEX(E24)</f>
        <v>4E2</v>
      </c>
      <c r="G24" s="45">
        <f>20*E24/1250</f>
        <v>20</v>
      </c>
      <c r="H24" s="4"/>
      <c r="O24" s="5"/>
      <c r="P24" s="5"/>
      <c r="Q24" s="5"/>
      <c r="R24" s="94"/>
    </row>
    <row r="25" spans="1:18" ht="15.75" customHeight="1">
      <c r="A25" s="6">
        <v>16</v>
      </c>
      <c r="B25" s="3"/>
      <c r="C25" s="7"/>
      <c r="D25" s="7"/>
      <c r="E25" s="2"/>
      <c r="F25" s="44"/>
      <c r="G25" s="45"/>
      <c r="H25" s="46"/>
      <c r="I25" s="36"/>
      <c r="O25" s="5"/>
      <c r="P25" s="5"/>
      <c r="Q25" s="5"/>
      <c r="R25" s="94"/>
    </row>
    <row r="26" spans="1:18" ht="15.75" customHeight="1">
      <c r="A26" s="6">
        <v>17</v>
      </c>
      <c r="B26" s="3" t="s">
        <v>17</v>
      </c>
      <c r="C26" s="7" t="s">
        <v>2</v>
      </c>
      <c r="D26" s="7"/>
      <c r="E26" s="2">
        <v>1000</v>
      </c>
      <c r="F26" s="44" t="str">
        <f t="shared" ref="F26:F43" si="6">DEC2HEX(E26)</f>
        <v>3E8</v>
      </c>
      <c r="G26" s="45"/>
      <c r="H26" s="5"/>
      <c r="I26" s="36"/>
      <c r="O26" s="5"/>
      <c r="P26" s="5"/>
      <c r="Q26" s="5"/>
      <c r="R26" s="5"/>
    </row>
    <row r="27" spans="1:18" ht="15.75" customHeight="1">
      <c r="A27" s="6">
        <v>18</v>
      </c>
      <c r="B27" s="3"/>
      <c r="C27" s="7" t="s">
        <v>3</v>
      </c>
      <c r="D27" s="7"/>
      <c r="E27" s="2"/>
      <c r="F27" s="44" t="str">
        <f t="shared" si="6"/>
        <v>0</v>
      </c>
      <c r="G27" s="45"/>
      <c r="H27" s="5"/>
      <c r="I27" s="36"/>
      <c r="J27" s="36"/>
      <c r="K27" s="36"/>
      <c r="M27" s="36"/>
      <c r="O27" s="5"/>
      <c r="P27" s="5"/>
      <c r="Q27" s="5"/>
      <c r="R27" s="94"/>
    </row>
    <row r="28" spans="1:18" ht="15.75" customHeight="1">
      <c r="A28" s="6">
        <v>19</v>
      </c>
      <c r="B28" s="81" t="s">
        <v>140</v>
      </c>
      <c r="C28" s="7" t="s">
        <v>2</v>
      </c>
      <c r="D28" s="7"/>
      <c r="E28" s="2">
        <v>1200</v>
      </c>
      <c r="F28" s="44" t="str">
        <f t="shared" si="6"/>
        <v>4B0</v>
      </c>
      <c r="G28" s="45"/>
      <c r="H28" s="5"/>
      <c r="I28" s="36"/>
      <c r="O28" s="5"/>
      <c r="P28" s="5"/>
      <c r="Q28" s="5"/>
      <c r="R28" s="94"/>
    </row>
    <row r="29" spans="1:18" ht="15.75" customHeight="1">
      <c r="A29" s="6">
        <v>20</v>
      </c>
      <c r="B29" s="3">
        <v>0</v>
      </c>
      <c r="C29" s="7" t="s">
        <v>3</v>
      </c>
      <c r="D29" s="7"/>
      <c r="E29" s="2"/>
      <c r="F29" s="44" t="str">
        <f t="shared" si="6"/>
        <v>0</v>
      </c>
      <c r="G29" s="45"/>
      <c r="H29" s="5"/>
      <c r="I29" s="36"/>
      <c r="J29" s="36"/>
      <c r="K29" s="36"/>
      <c r="L29" s="36"/>
      <c r="O29" s="5"/>
      <c r="P29" s="5"/>
      <c r="Q29" s="5"/>
      <c r="R29" s="94"/>
    </row>
    <row r="30" spans="1:18" ht="15.75" customHeight="1">
      <c r="A30" s="6">
        <v>21</v>
      </c>
      <c r="B30" s="9" t="s">
        <v>23</v>
      </c>
      <c r="C30" s="7" t="s">
        <v>2</v>
      </c>
      <c r="D30" s="11" t="s">
        <v>20</v>
      </c>
      <c r="E30" s="2">
        <v>43680</v>
      </c>
      <c r="F30" s="44" t="str">
        <f t="shared" si="6"/>
        <v>AAA0</v>
      </c>
      <c r="G30" s="45"/>
      <c r="H30" s="5"/>
      <c r="O30" s="5"/>
      <c r="P30" s="5"/>
      <c r="Q30" s="5"/>
      <c r="R30" s="94"/>
    </row>
    <row r="31" spans="1:18" ht="15.75" customHeight="1">
      <c r="A31" s="6">
        <v>22</v>
      </c>
      <c r="B31" s="3">
        <v>0</v>
      </c>
      <c r="C31" s="7" t="s">
        <v>3</v>
      </c>
      <c r="D31" s="7"/>
      <c r="E31" s="2"/>
      <c r="F31" s="44" t="str">
        <f t="shared" si="6"/>
        <v>0</v>
      </c>
      <c r="G31" s="45"/>
      <c r="H31" s="5"/>
      <c r="O31" s="5"/>
      <c r="P31" s="5"/>
      <c r="Q31" s="5"/>
      <c r="R31" s="94"/>
    </row>
    <row r="32" spans="1:18" ht="15.75" customHeight="1">
      <c r="A32" s="6">
        <v>23</v>
      </c>
      <c r="B32" s="9" t="s">
        <v>22</v>
      </c>
      <c r="C32" s="7" t="s">
        <v>2</v>
      </c>
      <c r="D32" s="7"/>
      <c r="E32" s="2">
        <v>0</v>
      </c>
      <c r="F32" s="44" t="str">
        <f t="shared" si="6"/>
        <v>0</v>
      </c>
      <c r="G32" s="45"/>
      <c r="H32" s="5"/>
      <c r="O32" s="5"/>
      <c r="P32" s="5"/>
      <c r="Q32" s="5"/>
      <c r="R32" s="5"/>
    </row>
    <row r="33" spans="1:18" ht="15.75" customHeight="1">
      <c r="A33" s="6">
        <v>24</v>
      </c>
      <c r="B33" s="3">
        <v>0</v>
      </c>
      <c r="C33" s="7" t="s">
        <v>3</v>
      </c>
      <c r="D33" s="7"/>
      <c r="E33" s="2">
        <v>0</v>
      </c>
      <c r="F33" s="44" t="str">
        <f t="shared" si="6"/>
        <v>0</v>
      </c>
      <c r="G33" s="45"/>
      <c r="H33" s="5"/>
      <c r="O33" s="5"/>
      <c r="P33" s="5"/>
      <c r="Q33" s="5"/>
      <c r="R33" s="5"/>
    </row>
    <row r="34" spans="1:18" ht="15.75" customHeight="1">
      <c r="A34" s="6">
        <v>25</v>
      </c>
      <c r="B34" s="69" t="s">
        <v>24</v>
      </c>
      <c r="C34" s="7" t="s">
        <v>2</v>
      </c>
      <c r="D34" s="12"/>
      <c r="E34" s="2">
        <v>0</v>
      </c>
      <c r="F34" s="44" t="str">
        <f t="shared" si="6"/>
        <v>0</v>
      </c>
      <c r="G34" s="45"/>
      <c r="H34" s="46"/>
      <c r="I34" s="36"/>
      <c r="O34" s="5"/>
      <c r="P34" s="5"/>
      <c r="Q34" s="5"/>
      <c r="R34" s="5"/>
    </row>
    <row r="35" spans="1:18" ht="15.75" customHeight="1">
      <c r="A35" s="6">
        <v>26</v>
      </c>
      <c r="B35" s="77"/>
      <c r="C35" s="7" t="s">
        <v>3</v>
      </c>
      <c r="D35" s="12"/>
      <c r="E35" s="2">
        <v>0</v>
      </c>
      <c r="F35" s="44" t="str">
        <f t="shared" si="6"/>
        <v>0</v>
      </c>
      <c r="G35" s="45"/>
      <c r="H35" s="46"/>
      <c r="I35" s="36"/>
      <c r="J35" s="36"/>
      <c r="K35" s="36"/>
      <c r="O35" s="5"/>
      <c r="P35" s="5"/>
      <c r="Q35" s="5"/>
      <c r="R35" s="5"/>
    </row>
    <row r="36" spans="1:18" ht="15.75" customHeight="1">
      <c r="A36" s="6">
        <v>27</v>
      </c>
      <c r="B36" s="10" t="s">
        <v>19</v>
      </c>
      <c r="C36" s="7"/>
      <c r="D36" s="12"/>
      <c r="E36" s="2">
        <v>0</v>
      </c>
      <c r="F36" s="44" t="str">
        <f t="shared" si="6"/>
        <v>0</v>
      </c>
      <c r="G36" s="45"/>
      <c r="H36" s="71"/>
      <c r="I36" s="49"/>
      <c r="J36" s="29"/>
      <c r="K36" s="29"/>
      <c r="O36" s="5"/>
      <c r="P36" s="5"/>
      <c r="Q36" s="5"/>
      <c r="R36" s="5"/>
    </row>
    <row r="37" spans="1:18" ht="15.75" customHeight="1">
      <c r="A37" s="72">
        <v>28</v>
      </c>
      <c r="B37" s="3"/>
      <c r="C37" s="73"/>
      <c r="D37" s="12"/>
      <c r="E37" s="2">
        <v>0</v>
      </c>
      <c r="F37" s="44" t="str">
        <f t="shared" si="6"/>
        <v>0</v>
      </c>
      <c r="G37" s="45"/>
      <c r="H37" s="71"/>
      <c r="I37" s="49"/>
      <c r="J37" s="49"/>
      <c r="K37" s="49"/>
      <c r="O37" s="5"/>
      <c r="P37" s="5"/>
      <c r="Q37" s="5"/>
      <c r="R37" s="5"/>
    </row>
    <row r="38" spans="1:18" ht="15.75" customHeight="1">
      <c r="A38" s="72">
        <v>29</v>
      </c>
      <c r="B38" s="78" t="s">
        <v>21</v>
      </c>
      <c r="C38" s="73" t="s">
        <v>2</v>
      </c>
      <c r="D38" s="12"/>
      <c r="E38" s="2">
        <v>0</v>
      </c>
      <c r="F38" s="44" t="str">
        <f t="shared" si="6"/>
        <v>0</v>
      </c>
      <c r="G38" s="45"/>
      <c r="H38" s="71"/>
      <c r="I38" s="49"/>
      <c r="J38" s="29"/>
      <c r="K38" s="29"/>
      <c r="M38" s="36"/>
      <c r="O38" s="5"/>
      <c r="P38" s="5"/>
      <c r="Q38" s="5"/>
      <c r="R38" s="5"/>
    </row>
    <row r="39" spans="1:18" ht="15.75" customHeight="1">
      <c r="A39" s="72">
        <v>30</v>
      </c>
      <c r="B39" s="77"/>
      <c r="C39" s="73" t="s">
        <v>3</v>
      </c>
      <c r="D39" s="7"/>
      <c r="E39" s="2">
        <v>0</v>
      </c>
      <c r="F39" s="44" t="str">
        <f t="shared" si="6"/>
        <v>0</v>
      </c>
      <c r="G39" s="45"/>
      <c r="H39" s="71"/>
      <c r="I39" s="49"/>
      <c r="J39" s="49"/>
      <c r="K39" s="49"/>
      <c r="L39" s="30"/>
      <c r="M39" s="30"/>
      <c r="O39" s="5"/>
      <c r="P39" s="5"/>
      <c r="Q39" s="5"/>
      <c r="R39" s="5"/>
    </row>
    <row r="40" spans="1:18" ht="15.75" customHeight="1">
      <c r="A40" s="72">
        <v>31</v>
      </c>
      <c r="B40" s="77"/>
      <c r="C40" s="73" t="s">
        <v>2</v>
      </c>
      <c r="D40" s="7"/>
      <c r="E40" s="2">
        <v>0</v>
      </c>
      <c r="F40" s="44" t="str">
        <f t="shared" si="6"/>
        <v>0</v>
      </c>
      <c r="G40" s="45"/>
      <c r="H40" s="4"/>
      <c r="I40" s="49"/>
      <c r="J40" s="29"/>
      <c r="K40" s="29"/>
      <c r="M40" s="30"/>
      <c r="O40" s="5"/>
      <c r="P40" s="5"/>
      <c r="Q40" s="5"/>
      <c r="R40" s="5"/>
    </row>
    <row r="41" spans="1:18" ht="15.75" customHeight="1">
      <c r="A41" s="72">
        <v>32</v>
      </c>
      <c r="B41" s="77"/>
      <c r="C41" s="73" t="s">
        <v>3</v>
      </c>
      <c r="D41" s="7"/>
      <c r="E41" s="2">
        <v>0</v>
      </c>
      <c r="F41" s="44" t="str">
        <f t="shared" si="6"/>
        <v>0</v>
      </c>
      <c r="G41" s="45"/>
      <c r="H41" s="4"/>
      <c r="I41" s="49"/>
      <c r="J41" s="49"/>
      <c r="K41" s="49"/>
      <c r="L41" s="4"/>
      <c r="O41" s="5"/>
      <c r="P41" s="5"/>
      <c r="Q41" s="5"/>
      <c r="R41" s="5"/>
    </row>
    <row r="42" spans="1:18" ht="15.75" customHeight="1">
      <c r="A42" s="72">
        <v>33</v>
      </c>
      <c r="B42" s="77"/>
      <c r="C42" s="73" t="s">
        <v>2</v>
      </c>
      <c r="D42" s="7"/>
      <c r="E42" s="2">
        <v>0</v>
      </c>
      <c r="F42" s="44" t="str">
        <f t="shared" si="6"/>
        <v>0</v>
      </c>
      <c r="G42" s="45"/>
      <c r="H42" s="46"/>
      <c r="I42" s="36"/>
      <c r="L42" s="4"/>
      <c r="O42" s="5"/>
      <c r="P42" s="5"/>
      <c r="Q42" s="5"/>
      <c r="R42" s="5"/>
    </row>
    <row r="43" spans="1:18" ht="15.75" customHeight="1">
      <c r="A43" s="72">
        <v>34</v>
      </c>
      <c r="B43" s="79">
        <v>0</v>
      </c>
      <c r="C43" s="73" t="s">
        <v>3</v>
      </c>
      <c r="D43" s="7"/>
      <c r="E43" s="2">
        <v>0</v>
      </c>
      <c r="F43" s="44" t="str">
        <f t="shared" si="6"/>
        <v>0</v>
      </c>
      <c r="G43" s="45"/>
      <c r="H43" s="46"/>
      <c r="I43" s="36"/>
      <c r="J43" s="36"/>
      <c r="K43" s="36"/>
      <c r="L43" s="4"/>
      <c r="M43" s="30"/>
      <c r="O43" s="5"/>
      <c r="P43" s="5"/>
      <c r="Q43" s="5"/>
      <c r="R43" s="5"/>
    </row>
    <row r="44" spans="1:18" ht="15.75" customHeight="1">
      <c r="A44" s="72">
        <v>35</v>
      </c>
      <c r="B44" s="76"/>
      <c r="C44" s="74" t="s">
        <v>2</v>
      </c>
      <c r="D44" s="16"/>
      <c r="E44" s="2"/>
      <c r="F44" s="44"/>
      <c r="G44" s="45"/>
      <c r="H44" s="4"/>
      <c r="O44" s="5"/>
      <c r="P44" s="5"/>
      <c r="Q44" s="5"/>
      <c r="R44" s="5"/>
    </row>
    <row r="45" spans="1:18" ht="15.75" customHeight="1">
      <c r="A45" s="72">
        <v>36</v>
      </c>
      <c r="B45" s="76"/>
      <c r="C45" s="59"/>
      <c r="E45" s="2"/>
      <c r="F45" s="44"/>
      <c r="G45" s="45"/>
      <c r="R45" s="5"/>
    </row>
    <row r="46" spans="1:18" ht="15.75" customHeight="1">
      <c r="A46" s="6">
        <v>37</v>
      </c>
      <c r="B46" s="75" t="s">
        <v>87</v>
      </c>
      <c r="C46" s="16"/>
      <c r="D46" s="7" t="s">
        <v>88</v>
      </c>
      <c r="E46" s="2"/>
      <c r="F46" s="44"/>
      <c r="G46" s="45"/>
      <c r="H46" s="4"/>
      <c r="O46" s="5"/>
      <c r="P46" s="5"/>
      <c r="Q46" s="5"/>
      <c r="R46" s="5"/>
    </row>
    <row r="47" spans="1:18" ht="15.75" customHeight="1">
      <c r="A47" s="6">
        <v>38</v>
      </c>
      <c r="B47" s="14"/>
      <c r="E47" s="2"/>
      <c r="F47" s="44"/>
      <c r="G47" s="45"/>
      <c r="R47" s="5"/>
    </row>
    <row r="48" spans="1:18" ht="15.75" customHeight="1">
      <c r="A48" s="6">
        <v>39</v>
      </c>
      <c r="B48" s="17" t="s">
        <v>89</v>
      </c>
      <c r="C48" s="16"/>
      <c r="D48" s="7" t="s">
        <v>90</v>
      </c>
      <c r="E48" s="2"/>
      <c r="F48" s="44"/>
      <c r="G48" s="45"/>
      <c r="H48" s="4"/>
      <c r="O48" s="5"/>
      <c r="P48" s="5"/>
      <c r="Q48" s="5"/>
      <c r="R48" s="5"/>
    </row>
    <row r="49" spans="1:18" ht="15.75" customHeight="1">
      <c r="A49" s="6">
        <v>40</v>
      </c>
      <c r="B49" s="14"/>
      <c r="E49" s="2"/>
      <c r="F49" s="44"/>
      <c r="G49" s="45"/>
      <c r="R49" s="5"/>
    </row>
    <row r="50" spans="1:18" ht="15.75" customHeight="1">
      <c r="A50" s="6">
        <v>41</v>
      </c>
      <c r="B50" s="17" t="s">
        <v>91</v>
      </c>
      <c r="C50" s="16"/>
      <c r="D50" s="7" t="s">
        <v>92</v>
      </c>
      <c r="E50" s="2"/>
      <c r="F50" s="44"/>
      <c r="G50" s="45"/>
      <c r="H50" s="4"/>
      <c r="O50" s="5"/>
      <c r="P50" s="5"/>
      <c r="Q50" s="5"/>
      <c r="R50" s="5"/>
    </row>
    <row r="51" spans="1:18" ht="15.75" customHeight="1">
      <c r="A51" s="6">
        <v>42</v>
      </c>
      <c r="B51" s="17"/>
      <c r="C51" s="15" t="s">
        <v>2</v>
      </c>
      <c r="D51" s="16"/>
      <c r="E51" s="2"/>
      <c r="F51" s="44"/>
      <c r="G51" s="45"/>
      <c r="H51" s="4"/>
      <c r="O51" s="5"/>
      <c r="P51" s="5"/>
      <c r="Q51" s="5"/>
      <c r="R51" s="5"/>
    </row>
    <row r="52" spans="1:18" ht="15.75" customHeight="1">
      <c r="A52" s="6">
        <v>43</v>
      </c>
      <c r="B52" s="3" t="s">
        <v>4</v>
      </c>
      <c r="C52" s="16"/>
      <c r="D52" s="16"/>
      <c r="E52" s="2"/>
      <c r="F52" s="44"/>
      <c r="G52" s="45"/>
      <c r="H52" s="4"/>
      <c r="O52" s="5"/>
      <c r="P52" s="5"/>
      <c r="Q52" s="5"/>
      <c r="R52" s="5"/>
    </row>
    <row r="53" spans="1:18" ht="15.75" customHeight="1">
      <c r="A53" s="61"/>
      <c r="B53" s="68"/>
      <c r="C53" s="68"/>
      <c r="D53" s="68"/>
      <c r="E53" s="60"/>
      <c r="F53" s="61"/>
      <c r="G53" s="61"/>
      <c r="H53" s="70"/>
      <c r="I53" s="59"/>
      <c r="O53" s="5"/>
      <c r="P53" s="5"/>
      <c r="Q53" s="5"/>
      <c r="R53" s="5"/>
    </row>
    <row r="54" spans="1:18" ht="15.75" customHeight="1">
      <c r="A54" s="61"/>
      <c r="B54" s="68"/>
      <c r="C54" s="68"/>
      <c r="D54" s="68"/>
      <c r="E54" s="60"/>
      <c r="F54" s="61"/>
      <c r="G54" s="61"/>
      <c r="H54" s="70"/>
      <c r="I54" s="59"/>
      <c r="O54" s="5"/>
      <c r="P54" s="5"/>
      <c r="Q54" s="5"/>
      <c r="R54" s="5"/>
    </row>
    <row r="55" spans="1:18" ht="15.75" customHeight="1">
      <c r="A55" s="61"/>
      <c r="B55" s="68"/>
      <c r="C55" s="68"/>
      <c r="D55" s="68"/>
      <c r="E55" s="60"/>
      <c r="F55" s="61"/>
      <c r="G55" s="61"/>
      <c r="H55" s="70"/>
      <c r="I55" s="59"/>
      <c r="O55" s="5"/>
      <c r="P55" s="5"/>
      <c r="Q55" s="5"/>
      <c r="R55" s="5"/>
    </row>
    <row r="56" spans="1:18" ht="15.75" customHeight="1">
      <c r="A56" s="61"/>
      <c r="B56" s="66"/>
      <c r="C56" s="68"/>
      <c r="D56" s="61"/>
      <c r="E56" s="60"/>
      <c r="F56" s="61"/>
      <c r="G56" s="61"/>
      <c r="H56" s="70"/>
      <c r="I56" s="59"/>
      <c r="O56" s="5"/>
      <c r="P56" s="5"/>
      <c r="Q56" s="5"/>
      <c r="R56" s="5"/>
    </row>
    <row r="57" spans="1:18" ht="15.75" customHeight="1">
      <c r="A57" s="61"/>
      <c r="B57" s="68"/>
      <c r="C57" s="68"/>
      <c r="D57" s="61"/>
      <c r="E57" s="60"/>
      <c r="F57" s="61"/>
      <c r="G57" s="61"/>
      <c r="H57" s="70"/>
      <c r="I57" s="59"/>
      <c r="O57" s="5"/>
      <c r="P57" s="5"/>
      <c r="Q57" s="5"/>
      <c r="R57" s="5"/>
    </row>
    <row r="58" spans="1:18" ht="15.75" customHeight="1">
      <c r="A58" s="61"/>
      <c r="B58" s="66"/>
      <c r="C58" s="68"/>
      <c r="D58" s="61"/>
      <c r="E58" s="60"/>
      <c r="F58" s="61"/>
      <c r="G58" s="61"/>
      <c r="H58" s="70"/>
      <c r="I58" s="59"/>
      <c r="O58" s="5"/>
      <c r="P58" s="5"/>
      <c r="Q58" s="5"/>
      <c r="R58" s="5"/>
    </row>
    <row r="59" spans="1:18" ht="15.75" customHeight="1">
      <c r="A59" s="61"/>
      <c r="B59" s="68"/>
      <c r="C59" s="68"/>
      <c r="D59" s="61"/>
      <c r="E59" s="60"/>
      <c r="F59" s="61"/>
      <c r="G59" s="61"/>
      <c r="H59" s="70"/>
      <c r="I59" s="59"/>
      <c r="O59" s="5"/>
      <c r="P59" s="5"/>
      <c r="Q59" s="5"/>
      <c r="R59" s="5"/>
    </row>
    <row r="60" spans="1:18" ht="15.75" customHeight="1">
      <c r="A60" s="61"/>
      <c r="B60" s="66"/>
      <c r="C60" s="68"/>
      <c r="D60" s="61"/>
      <c r="E60" s="60"/>
      <c r="F60" s="61"/>
      <c r="G60" s="61"/>
      <c r="H60" s="70"/>
      <c r="I60" s="59"/>
      <c r="O60" s="5"/>
      <c r="P60" s="5"/>
      <c r="Q60" s="5"/>
      <c r="R60" s="5"/>
    </row>
    <row r="61" spans="1:18" ht="15.75" customHeight="1">
      <c r="A61" s="61"/>
      <c r="B61" s="68"/>
      <c r="C61" s="68"/>
      <c r="D61" s="68"/>
      <c r="E61" s="60"/>
      <c r="F61" s="61"/>
      <c r="G61" s="61"/>
      <c r="H61" s="70"/>
      <c r="I61" s="59"/>
      <c r="O61" s="5"/>
      <c r="P61" s="5"/>
      <c r="Q61" s="5"/>
      <c r="R61" s="5"/>
    </row>
    <row r="62" spans="1:18" ht="15.75" customHeight="1">
      <c r="A62" s="61"/>
      <c r="B62" s="61"/>
      <c r="C62" s="68"/>
      <c r="D62" s="68"/>
      <c r="E62" s="60"/>
      <c r="F62" s="61"/>
      <c r="G62" s="61"/>
      <c r="H62" s="70"/>
      <c r="I62" s="59"/>
      <c r="O62" s="5"/>
      <c r="P62" s="5"/>
      <c r="Q62" s="5"/>
      <c r="R62" s="5"/>
    </row>
    <row r="63" spans="1:18" ht="15.75" customHeight="1">
      <c r="A63" s="59"/>
      <c r="B63" s="59"/>
      <c r="C63" s="59"/>
      <c r="D63" s="59"/>
      <c r="E63" s="60"/>
      <c r="F63" s="61"/>
      <c r="G63" s="61"/>
      <c r="H63" s="70"/>
      <c r="I63" s="59"/>
      <c r="O63" s="5"/>
      <c r="P63" s="5"/>
      <c r="Q63" s="5"/>
      <c r="R63" s="5"/>
    </row>
    <row r="64" spans="1:18" ht="15.75" customHeight="1">
      <c r="E64" s="31"/>
      <c r="F64" s="29"/>
      <c r="G64" s="29"/>
      <c r="H64" s="4"/>
      <c r="O64" s="5"/>
      <c r="P64" s="5"/>
      <c r="Q64" s="5"/>
      <c r="R64" s="5"/>
    </row>
    <row r="65" spans="5:18" ht="15.75" customHeight="1">
      <c r="E65" s="31"/>
      <c r="F65" s="29"/>
      <c r="G65" s="29"/>
      <c r="H65" s="4"/>
      <c r="O65" s="5"/>
      <c r="P65" s="5"/>
      <c r="Q65" s="5"/>
      <c r="R65" s="5"/>
    </row>
    <row r="66" spans="5:18" ht="15.75" customHeight="1">
      <c r="E66" s="31"/>
      <c r="F66" s="29"/>
      <c r="G66" s="29"/>
      <c r="H66" s="4"/>
      <c r="O66" s="5"/>
      <c r="P66" s="5"/>
      <c r="Q66" s="5"/>
      <c r="R66" s="5"/>
    </row>
    <row r="67" spans="5:18" ht="15.75" customHeight="1">
      <c r="E67" s="31"/>
      <c r="F67" s="29"/>
      <c r="G67" s="29"/>
      <c r="H67" s="4"/>
      <c r="O67" s="5"/>
      <c r="P67" s="5"/>
      <c r="Q67" s="5"/>
      <c r="R67" s="5"/>
    </row>
    <row r="68" spans="5:18" ht="15.75" customHeight="1">
      <c r="E68" s="31"/>
      <c r="F68" s="29"/>
      <c r="G68" s="29"/>
      <c r="H68" s="4"/>
      <c r="O68" s="5"/>
      <c r="P68" s="5"/>
      <c r="Q68" s="5"/>
      <c r="R68" s="5"/>
    </row>
    <row r="69" spans="5:18" ht="15.75" customHeight="1">
      <c r="E69" s="31"/>
      <c r="F69" s="29"/>
      <c r="G69" s="29"/>
      <c r="H69" s="4"/>
      <c r="O69" s="5"/>
      <c r="P69" s="5"/>
      <c r="Q69" s="5"/>
      <c r="R69" s="5"/>
    </row>
    <row r="70" spans="5:18" ht="15.75" customHeight="1">
      <c r="E70" s="31"/>
      <c r="F70" s="29"/>
      <c r="G70" s="29"/>
      <c r="H70" s="4"/>
      <c r="O70" s="5"/>
      <c r="P70" s="5"/>
      <c r="Q70" s="5"/>
      <c r="R70" s="5"/>
    </row>
    <row r="71" spans="5:18" ht="15.75" customHeight="1">
      <c r="E71" s="31"/>
      <c r="F71" s="29"/>
      <c r="G71" s="29"/>
      <c r="H71" s="4"/>
      <c r="O71" s="5"/>
      <c r="P71" s="5"/>
      <c r="Q71" s="5"/>
      <c r="R71" s="5"/>
    </row>
    <row r="72" spans="5:18" ht="15.75" customHeight="1">
      <c r="E72" s="31"/>
      <c r="F72" s="29"/>
      <c r="G72" s="29"/>
      <c r="H72" s="4"/>
      <c r="O72" s="5"/>
      <c r="P72" s="5"/>
      <c r="Q72" s="5"/>
      <c r="R72" s="5"/>
    </row>
    <row r="73" spans="5:18" ht="15.75" customHeight="1">
      <c r="E73" s="31"/>
      <c r="F73" s="29"/>
      <c r="G73" s="29"/>
      <c r="H73" s="4"/>
      <c r="O73" s="5"/>
      <c r="P73" s="5"/>
      <c r="Q73" s="5"/>
      <c r="R73" s="5"/>
    </row>
    <row r="74" spans="5:18" ht="15.75" customHeight="1">
      <c r="E74" s="31"/>
      <c r="F74" s="29"/>
      <c r="G74" s="29"/>
      <c r="H74" s="4"/>
      <c r="O74" s="5"/>
      <c r="P74" s="5"/>
      <c r="Q74" s="5"/>
      <c r="R74" s="5"/>
    </row>
    <row r="75" spans="5:18" ht="15.75" customHeight="1">
      <c r="E75" s="31"/>
      <c r="F75" s="29"/>
      <c r="G75" s="29"/>
      <c r="H75" s="4"/>
      <c r="O75" s="5"/>
      <c r="P75" s="5"/>
      <c r="Q75" s="5"/>
      <c r="R75" s="5"/>
    </row>
    <row r="76" spans="5:18" ht="15.75" customHeight="1">
      <c r="E76" s="31"/>
      <c r="F76" s="29"/>
      <c r="G76" s="29"/>
      <c r="H76" s="4"/>
      <c r="O76" s="5"/>
      <c r="P76" s="5"/>
      <c r="Q76" s="5"/>
      <c r="R76" s="5"/>
    </row>
    <row r="77" spans="5:18" ht="15.75" customHeight="1">
      <c r="E77" s="31"/>
      <c r="F77" s="29"/>
      <c r="G77" s="29"/>
      <c r="H77" s="4"/>
      <c r="O77" s="5"/>
      <c r="P77" s="5"/>
      <c r="Q77" s="5"/>
      <c r="R77" s="5"/>
    </row>
    <row r="78" spans="5:18" ht="15.75" customHeight="1">
      <c r="E78" s="31"/>
      <c r="F78" s="29"/>
      <c r="G78" s="29"/>
      <c r="H78" s="4"/>
      <c r="O78" s="5"/>
      <c r="P78" s="5"/>
      <c r="Q78" s="5"/>
      <c r="R78" s="5"/>
    </row>
    <row r="79" spans="5:18" ht="15.75" customHeight="1">
      <c r="E79" s="31"/>
      <c r="F79" s="29"/>
      <c r="G79" s="29"/>
      <c r="H79" s="4"/>
      <c r="O79" s="5"/>
      <c r="P79" s="5"/>
      <c r="Q79" s="5"/>
      <c r="R79" s="5"/>
    </row>
    <row r="80" spans="5:18" ht="15.75" customHeight="1">
      <c r="E80" s="31"/>
      <c r="F80" s="29"/>
      <c r="G80" s="29"/>
      <c r="H80" s="4"/>
      <c r="O80" s="5"/>
      <c r="P80" s="5"/>
      <c r="Q80" s="5"/>
      <c r="R80" s="5"/>
    </row>
    <row r="81" spans="5:18" ht="15.75" customHeight="1">
      <c r="E81" s="31"/>
      <c r="F81" s="29"/>
      <c r="G81" s="29"/>
      <c r="H81" s="4"/>
      <c r="O81" s="5"/>
      <c r="P81" s="5"/>
      <c r="Q81" s="5"/>
      <c r="R81" s="5"/>
    </row>
    <row r="82" spans="5:18" ht="15.75" customHeight="1">
      <c r="E82" s="31"/>
      <c r="F82" s="29"/>
      <c r="G82" s="29"/>
      <c r="H82" s="4"/>
      <c r="O82" s="5"/>
      <c r="P82" s="5"/>
      <c r="Q82" s="5"/>
      <c r="R82" s="5"/>
    </row>
    <row r="83" spans="5:18" ht="15.75" customHeight="1">
      <c r="E83" s="31"/>
      <c r="F83" s="29"/>
      <c r="G83" s="29"/>
      <c r="H83" s="4"/>
      <c r="O83" s="5"/>
      <c r="P83" s="5"/>
      <c r="Q83" s="5"/>
      <c r="R83" s="5"/>
    </row>
    <row r="84" spans="5:18" ht="15.75" customHeight="1">
      <c r="E84" s="31"/>
      <c r="F84" s="29"/>
      <c r="G84" s="29"/>
      <c r="H84" s="4"/>
      <c r="O84" s="5"/>
      <c r="P84" s="5"/>
      <c r="Q84" s="5"/>
      <c r="R84" s="5"/>
    </row>
    <row r="85" spans="5:18" ht="15.75" customHeight="1">
      <c r="E85" s="31"/>
      <c r="F85" s="29"/>
      <c r="G85" s="29"/>
      <c r="H85" s="4"/>
      <c r="O85" s="5"/>
      <c r="P85" s="5"/>
      <c r="Q85" s="5"/>
      <c r="R85" s="5"/>
    </row>
    <row r="86" spans="5:18" ht="15.75" customHeight="1">
      <c r="E86" s="31"/>
      <c r="F86" s="29"/>
      <c r="G86" s="29"/>
      <c r="H86" s="4"/>
      <c r="O86" s="5"/>
      <c r="P86" s="5"/>
      <c r="Q86" s="5"/>
      <c r="R86" s="5"/>
    </row>
    <row r="87" spans="5:18" ht="15.75" customHeight="1">
      <c r="E87" s="31"/>
      <c r="F87" s="29"/>
      <c r="G87" s="29"/>
      <c r="H87" s="4"/>
      <c r="O87" s="5"/>
      <c r="P87" s="5"/>
      <c r="Q87" s="5"/>
      <c r="R87" s="5"/>
    </row>
    <row r="88" spans="5:18" ht="15.75" customHeight="1">
      <c r="E88" s="31"/>
      <c r="F88" s="29"/>
      <c r="G88" s="29"/>
      <c r="H88" s="4"/>
      <c r="O88" s="5"/>
      <c r="P88" s="5"/>
      <c r="Q88" s="5"/>
      <c r="R88" s="5"/>
    </row>
    <row r="89" spans="5:18" ht="15.75" customHeight="1">
      <c r="E89" s="31"/>
      <c r="F89" s="29"/>
      <c r="G89" s="29"/>
      <c r="H89" s="4"/>
      <c r="O89" s="5"/>
      <c r="P89" s="5"/>
      <c r="Q89" s="5"/>
      <c r="R89" s="5"/>
    </row>
    <row r="90" spans="5:18" ht="15.75" customHeight="1">
      <c r="E90" s="31"/>
      <c r="F90" s="29"/>
      <c r="G90" s="29"/>
      <c r="H90" s="4"/>
      <c r="O90" s="5"/>
      <c r="P90" s="5"/>
      <c r="Q90" s="5"/>
      <c r="R90" s="5"/>
    </row>
    <row r="91" spans="5:18" ht="15.75" customHeight="1">
      <c r="E91" s="31"/>
      <c r="F91" s="29"/>
      <c r="G91" s="29"/>
      <c r="H91" s="4"/>
      <c r="O91" s="5"/>
      <c r="P91" s="5"/>
      <c r="Q91" s="5"/>
      <c r="R91" s="5"/>
    </row>
    <row r="92" spans="5:18" ht="15.75" customHeight="1">
      <c r="E92" s="31"/>
      <c r="F92" s="29"/>
      <c r="G92" s="29"/>
      <c r="H92" s="4"/>
      <c r="O92" s="5"/>
      <c r="P92" s="5"/>
      <c r="Q92" s="5"/>
      <c r="R92" s="5"/>
    </row>
    <row r="93" spans="5:18" ht="15.75" customHeight="1">
      <c r="E93" s="31"/>
      <c r="F93" s="29"/>
      <c r="G93" s="29"/>
      <c r="H93" s="4"/>
      <c r="O93" s="5"/>
      <c r="P93" s="5"/>
      <c r="Q93" s="5"/>
      <c r="R93" s="5"/>
    </row>
    <row r="94" spans="5:18" ht="15.75" customHeight="1">
      <c r="E94" s="31"/>
      <c r="F94" s="29"/>
      <c r="G94" s="29"/>
      <c r="H94" s="4"/>
      <c r="O94" s="5"/>
      <c r="P94" s="5"/>
      <c r="Q94" s="5"/>
      <c r="R94" s="5"/>
    </row>
    <row r="95" spans="5:18" ht="15.75" customHeight="1">
      <c r="E95" s="31"/>
      <c r="F95" s="29"/>
      <c r="G95" s="29"/>
      <c r="H95" s="4"/>
      <c r="O95" s="5"/>
      <c r="P95" s="5"/>
      <c r="Q95" s="5"/>
      <c r="R95" s="5"/>
    </row>
    <row r="96" spans="5:18" ht="15.75" customHeight="1">
      <c r="E96" s="31"/>
      <c r="F96" s="29"/>
      <c r="G96" s="29"/>
      <c r="H96" s="4"/>
      <c r="O96" s="5"/>
      <c r="P96" s="5"/>
      <c r="Q96" s="5"/>
      <c r="R96" s="5"/>
    </row>
    <row r="97" spans="5:18" ht="15.75" customHeight="1">
      <c r="E97" s="31"/>
      <c r="F97" s="29"/>
      <c r="G97" s="29"/>
      <c r="H97" s="4"/>
      <c r="O97" s="5"/>
      <c r="P97" s="5"/>
      <c r="Q97" s="5"/>
      <c r="R97" s="5"/>
    </row>
    <row r="98" spans="5:18" ht="15.75" customHeight="1">
      <c r="E98" s="31"/>
      <c r="F98" s="29"/>
      <c r="G98" s="29"/>
      <c r="H98" s="4"/>
      <c r="O98" s="5"/>
      <c r="P98" s="5"/>
      <c r="Q98" s="5"/>
      <c r="R98" s="5"/>
    </row>
    <row r="99" spans="5:18" ht="15.75" customHeight="1">
      <c r="E99" s="31"/>
      <c r="F99" s="29"/>
      <c r="G99" s="29"/>
      <c r="H99" s="4"/>
      <c r="O99" s="5"/>
      <c r="P99" s="5"/>
      <c r="Q99" s="5"/>
      <c r="R99" s="5"/>
    </row>
    <row r="100" spans="5:18" ht="15.75" customHeight="1">
      <c r="E100" s="31"/>
      <c r="F100" s="29"/>
      <c r="G100" s="29"/>
      <c r="H100" s="4"/>
      <c r="O100" s="5"/>
      <c r="P100" s="5"/>
      <c r="Q100" s="5"/>
      <c r="R100" s="5"/>
    </row>
    <row r="101" spans="5:18" ht="15.75" customHeight="1">
      <c r="E101" s="31"/>
      <c r="F101" s="29"/>
      <c r="G101" s="29"/>
      <c r="H101" s="4"/>
      <c r="O101" s="5"/>
      <c r="P101" s="5"/>
      <c r="Q101" s="5"/>
      <c r="R101" s="5"/>
    </row>
    <row r="102" spans="5:18" ht="15.75" customHeight="1">
      <c r="E102" s="31"/>
      <c r="F102" s="29"/>
      <c r="G102" s="29"/>
      <c r="H102" s="4"/>
      <c r="O102" s="5"/>
      <c r="P102" s="5"/>
      <c r="Q102" s="5"/>
      <c r="R102" s="5"/>
    </row>
    <row r="103" spans="5:18" ht="15.75" customHeight="1">
      <c r="E103" s="31"/>
      <c r="F103" s="29"/>
      <c r="G103" s="29"/>
      <c r="H103" s="4"/>
      <c r="O103" s="5"/>
      <c r="P103" s="5"/>
      <c r="Q103" s="5"/>
      <c r="R103" s="5"/>
    </row>
    <row r="104" spans="5:18" ht="15.75" customHeight="1">
      <c r="E104" s="31"/>
      <c r="F104" s="29"/>
      <c r="G104" s="29"/>
      <c r="H104" s="4"/>
      <c r="O104" s="5"/>
      <c r="P104" s="5"/>
      <c r="Q104" s="5"/>
      <c r="R104" s="5"/>
    </row>
    <row r="105" spans="5:18" ht="15.75" customHeight="1">
      <c r="E105" s="31"/>
      <c r="F105" s="29"/>
      <c r="G105" s="29"/>
      <c r="H105" s="4"/>
      <c r="O105" s="5"/>
      <c r="P105" s="5"/>
      <c r="Q105" s="5"/>
      <c r="R105" s="5"/>
    </row>
    <row r="106" spans="5:18" ht="15.75" customHeight="1">
      <c r="E106" s="31"/>
      <c r="F106" s="29"/>
      <c r="G106" s="29"/>
      <c r="H106" s="4"/>
      <c r="O106" s="5"/>
      <c r="P106" s="5"/>
      <c r="Q106" s="5"/>
      <c r="R106" s="5"/>
    </row>
    <row r="107" spans="5:18" ht="15.75" customHeight="1">
      <c r="E107" s="31"/>
      <c r="F107" s="29"/>
      <c r="G107" s="29"/>
      <c r="H107" s="4"/>
      <c r="O107" s="5"/>
      <c r="P107" s="5"/>
      <c r="Q107" s="5"/>
      <c r="R107" s="5"/>
    </row>
    <row r="108" spans="5:18" ht="15.75" customHeight="1">
      <c r="E108" s="31"/>
      <c r="F108" s="29"/>
      <c r="G108" s="29"/>
      <c r="H108" s="4"/>
      <c r="O108" s="5"/>
      <c r="P108" s="5"/>
      <c r="Q108" s="5"/>
      <c r="R108" s="5"/>
    </row>
    <row r="109" spans="5:18" ht="15.75" customHeight="1">
      <c r="E109" s="31"/>
      <c r="F109" s="29"/>
      <c r="G109" s="29"/>
      <c r="H109" s="4"/>
      <c r="O109" s="5"/>
      <c r="P109" s="5"/>
      <c r="Q109" s="5"/>
      <c r="R109" s="5"/>
    </row>
    <row r="110" spans="5:18" ht="15.75" customHeight="1">
      <c r="E110" s="31"/>
      <c r="F110" s="29"/>
      <c r="G110" s="29"/>
      <c r="H110" s="4"/>
      <c r="O110" s="5"/>
      <c r="P110" s="5"/>
      <c r="Q110" s="5"/>
      <c r="R110" s="5"/>
    </row>
    <row r="111" spans="5:18" ht="15.75" customHeight="1">
      <c r="E111" s="31"/>
      <c r="F111" s="29"/>
      <c r="G111" s="29"/>
      <c r="H111" s="4"/>
      <c r="O111" s="5"/>
      <c r="P111" s="5"/>
      <c r="Q111" s="5"/>
      <c r="R111" s="5"/>
    </row>
    <row r="112" spans="5:18" ht="15.75" customHeight="1">
      <c r="E112" s="31"/>
      <c r="F112" s="29"/>
      <c r="G112" s="29"/>
      <c r="H112" s="4"/>
      <c r="O112" s="5"/>
      <c r="P112" s="5"/>
      <c r="Q112" s="5"/>
      <c r="R112" s="5"/>
    </row>
    <row r="113" spans="5:18" ht="15.75" customHeight="1">
      <c r="E113" s="31"/>
      <c r="F113" s="29"/>
      <c r="G113" s="29"/>
      <c r="H113" s="4"/>
      <c r="O113" s="5"/>
      <c r="P113" s="5"/>
      <c r="Q113" s="5"/>
      <c r="R113" s="5"/>
    </row>
    <row r="114" spans="5:18" ht="15.75" customHeight="1">
      <c r="E114" s="31"/>
      <c r="F114" s="29"/>
      <c r="G114" s="29"/>
      <c r="H114" s="4"/>
      <c r="O114" s="5"/>
      <c r="P114" s="5"/>
      <c r="Q114" s="5"/>
      <c r="R114" s="5"/>
    </row>
    <row r="115" spans="5:18" ht="15.75" customHeight="1">
      <c r="E115" s="31"/>
      <c r="F115" s="29"/>
      <c r="G115" s="29"/>
      <c r="H115" s="4"/>
      <c r="O115" s="5"/>
      <c r="P115" s="5"/>
      <c r="Q115" s="5"/>
      <c r="R115" s="5"/>
    </row>
    <row r="116" spans="5:18" ht="15.75" customHeight="1">
      <c r="E116" s="31"/>
      <c r="F116" s="29"/>
      <c r="G116" s="29"/>
      <c r="H116" s="4"/>
      <c r="O116" s="5"/>
      <c r="P116" s="5"/>
      <c r="Q116" s="5"/>
      <c r="R116" s="5"/>
    </row>
    <row r="117" spans="5:18" ht="15.75" customHeight="1">
      <c r="E117" s="31"/>
      <c r="F117" s="29"/>
      <c r="G117" s="29"/>
      <c r="H117" s="4"/>
      <c r="O117" s="5"/>
      <c r="P117" s="5"/>
      <c r="Q117" s="5"/>
      <c r="R117" s="5"/>
    </row>
    <row r="118" spans="5:18" ht="15.75" customHeight="1">
      <c r="E118" s="31"/>
      <c r="F118" s="29"/>
      <c r="G118" s="29"/>
      <c r="H118" s="4"/>
      <c r="O118" s="5"/>
      <c r="P118" s="5"/>
      <c r="Q118" s="5"/>
      <c r="R118" s="5"/>
    </row>
    <row r="119" spans="5:18" ht="15.75" customHeight="1">
      <c r="E119" s="31"/>
      <c r="F119" s="29"/>
      <c r="G119" s="29"/>
      <c r="H119" s="4"/>
      <c r="O119" s="5"/>
      <c r="P119" s="5"/>
      <c r="Q119" s="5"/>
      <c r="R119" s="5"/>
    </row>
    <row r="120" spans="5:18" ht="15.75" customHeight="1">
      <c r="E120" s="31"/>
      <c r="F120" s="29"/>
      <c r="G120" s="29"/>
      <c r="H120" s="4"/>
      <c r="O120" s="5"/>
      <c r="P120" s="5"/>
      <c r="Q120" s="5"/>
      <c r="R120" s="5"/>
    </row>
    <row r="121" spans="5:18" ht="15.75" customHeight="1">
      <c r="E121" s="31"/>
      <c r="F121" s="29"/>
      <c r="G121" s="29"/>
      <c r="H121" s="4"/>
      <c r="O121" s="5"/>
      <c r="P121" s="5"/>
      <c r="Q121" s="5"/>
      <c r="R121" s="5"/>
    </row>
    <row r="122" spans="5:18" ht="15.75" customHeight="1">
      <c r="E122" s="31"/>
      <c r="F122" s="29"/>
      <c r="G122" s="29"/>
      <c r="H122" s="4"/>
      <c r="O122" s="5"/>
      <c r="P122" s="5"/>
      <c r="Q122" s="5"/>
      <c r="R122" s="5"/>
    </row>
    <row r="123" spans="5:18" ht="15.75" customHeight="1">
      <c r="E123" s="31"/>
      <c r="F123" s="29"/>
      <c r="G123" s="29"/>
      <c r="H123" s="4"/>
      <c r="O123" s="5"/>
      <c r="P123" s="5"/>
      <c r="Q123" s="5"/>
      <c r="R123" s="5"/>
    </row>
    <row r="124" spans="5:18" ht="15.75" customHeight="1">
      <c r="E124" s="31"/>
      <c r="F124" s="29"/>
      <c r="G124" s="29"/>
      <c r="H124" s="4"/>
      <c r="O124" s="5"/>
      <c r="P124" s="5"/>
      <c r="Q124" s="5"/>
      <c r="R124" s="5"/>
    </row>
    <row r="125" spans="5:18" ht="15.75" customHeight="1">
      <c r="E125" s="31"/>
      <c r="F125" s="29"/>
      <c r="G125" s="29"/>
      <c r="H125" s="4"/>
      <c r="O125" s="5"/>
      <c r="P125" s="5"/>
      <c r="Q125" s="5"/>
      <c r="R125" s="5"/>
    </row>
    <row r="126" spans="5:18" ht="15.75" customHeight="1">
      <c r="E126" s="31"/>
      <c r="F126" s="29"/>
      <c r="G126" s="29"/>
      <c r="H126" s="4"/>
      <c r="O126" s="5"/>
      <c r="P126" s="5"/>
      <c r="Q126" s="5"/>
      <c r="R126" s="5"/>
    </row>
    <row r="127" spans="5:18" ht="15.75" customHeight="1">
      <c r="E127" s="31"/>
      <c r="F127" s="29"/>
      <c r="G127" s="29"/>
      <c r="H127" s="4"/>
      <c r="O127" s="5"/>
      <c r="P127" s="5"/>
      <c r="Q127" s="5"/>
      <c r="R127" s="5"/>
    </row>
    <row r="128" spans="5:18" ht="15.75" customHeight="1">
      <c r="E128" s="31"/>
      <c r="F128" s="29"/>
      <c r="G128" s="29"/>
      <c r="H128" s="4"/>
      <c r="O128" s="5"/>
      <c r="P128" s="5"/>
      <c r="Q128" s="5"/>
      <c r="R128" s="5"/>
    </row>
    <row r="129" spans="5:18" ht="15.75" customHeight="1">
      <c r="E129" s="31"/>
      <c r="F129" s="29"/>
      <c r="G129" s="29"/>
      <c r="H129" s="4"/>
      <c r="O129" s="5"/>
      <c r="P129" s="5"/>
      <c r="Q129" s="5"/>
      <c r="R129" s="5"/>
    </row>
    <row r="130" spans="5:18" ht="15.75" customHeight="1">
      <c r="E130" s="31"/>
      <c r="F130" s="29"/>
      <c r="G130" s="29"/>
      <c r="H130" s="4"/>
      <c r="O130" s="5"/>
      <c r="P130" s="5"/>
      <c r="Q130" s="5"/>
      <c r="R130" s="5"/>
    </row>
    <row r="131" spans="5:18" ht="15.75" customHeight="1">
      <c r="E131" s="31"/>
      <c r="F131" s="29"/>
      <c r="G131" s="29"/>
      <c r="H131" s="4"/>
      <c r="O131" s="5"/>
      <c r="P131" s="5"/>
      <c r="Q131" s="5"/>
      <c r="R131" s="5"/>
    </row>
    <row r="132" spans="5:18" ht="15.75" customHeight="1">
      <c r="E132" s="31"/>
      <c r="F132" s="29"/>
      <c r="G132" s="29"/>
      <c r="H132" s="4"/>
      <c r="O132" s="5"/>
      <c r="P132" s="5"/>
      <c r="Q132" s="5"/>
      <c r="R132" s="5"/>
    </row>
    <row r="133" spans="5:18" ht="15.75" customHeight="1">
      <c r="E133" s="31"/>
      <c r="F133" s="29"/>
      <c r="G133" s="29"/>
      <c r="H133" s="4"/>
      <c r="O133" s="5"/>
      <c r="P133" s="5"/>
      <c r="Q133" s="5"/>
      <c r="R133" s="5"/>
    </row>
    <row r="134" spans="5:18" ht="15.75" customHeight="1">
      <c r="E134" s="31"/>
      <c r="F134" s="29"/>
      <c r="G134" s="29"/>
      <c r="H134" s="4"/>
      <c r="O134" s="5"/>
      <c r="P134" s="5"/>
      <c r="Q134" s="5"/>
      <c r="R134" s="5"/>
    </row>
    <row r="135" spans="5:18" ht="15.75" customHeight="1">
      <c r="E135" s="31"/>
      <c r="F135" s="29"/>
      <c r="G135" s="29"/>
      <c r="H135" s="4"/>
      <c r="O135" s="5"/>
      <c r="P135" s="5"/>
      <c r="Q135" s="5"/>
      <c r="R135" s="5"/>
    </row>
    <row r="136" spans="5:18" ht="15.75" customHeight="1">
      <c r="E136" s="31"/>
      <c r="F136" s="29"/>
      <c r="G136" s="29"/>
      <c r="H136" s="4"/>
      <c r="O136" s="5"/>
      <c r="P136" s="5"/>
      <c r="Q136" s="5"/>
      <c r="R136" s="5"/>
    </row>
    <row r="137" spans="5:18" ht="15.75" customHeight="1">
      <c r="E137" s="31"/>
      <c r="F137" s="29"/>
      <c r="G137" s="29"/>
      <c r="H137" s="4"/>
      <c r="O137" s="5"/>
      <c r="P137" s="5"/>
      <c r="Q137" s="5"/>
      <c r="R137" s="5"/>
    </row>
    <row r="138" spans="5:18" ht="15.75" customHeight="1">
      <c r="E138" s="31"/>
      <c r="F138" s="29"/>
      <c r="G138" s="29"/>
      <c r="H138" s="4"/>
      <c r="O138" s="5"/>
      <c r="P138" s="5"/>
      <c r="Q138" s="5"/>
      <c r="R138" s="5"/>
    </row>
    <row r="139" spans="5:18" ht="15.75" customHeight="1">
      <c r="E139" s="31"/>
      <c r="F139" s="29"/>
      <c r="G139" s="29"/>
      <c r="H139" s="4"/>
      <c r="O139" s="5"/>
      <c r="P139" s="5"/>
      <c r="Q139" s="5"/>
      <c r="R139" s="5"/>
    </row>
    <row r="140" spans="5:18" ht="15.75" customHeight="1">
      <c r="E140" s="31"/>
      <c r="F140" s="29"/>
      <c r="G140" s="29"/>
      <c r="H140" s="4"/>
      <c r="O140" s="5"/>
      <c r="P140" s="5"/>
      <c r="Q140" s="5"/>
      <c r="R140" s="5"/>
    </row>
    <row r="141" spans="5:18" ht="15.75" customHeight="1">
      <c r="E141" s="31"/>
      <c r="F141" s="29"/>
      <c r="G141" s="29"/>
      <c r="H141" s="4"/>
      <c r="O141" s="5"/>
      <c r="P141" s="5"/>
      <c r="Q141" s="5"/>
      <c r="R141" s="5"/>
    </row>
    <row r="142" spans="5:18" ht="15.75" customHeight="1">
      <c r="E142" s="31"/>
      <c r="F142" s="29"/>
      <c r="G142" s="29"/>
      <c r="H142" s="4"/>
      <c r="O142" s="5"/>
      <c r="P142" s="5"/>
      <c r="Q142" s="5"/>
      <c r="R142" s="5"/>
    </row>
    <row r="143" spans="5:18" ht="15.75" customHeight="1">
      <c r="E143" s="31"/>
      <c r="F143" s="29"/>
      <c r="G143" s="29"/>
      <c r="H143" s="4"/>
      <c r="O143" s="5"/>
      <c r="P143" s="5"/>
      <c r="Q143" s="5"/>
      <c r="R143" s="5"/>
    </row>
    <row r="144" spans="5:18" ht="15.75" customHeight="1">
      <c r="E144" s="31"/>
      <c r="F144" s="29"/>
      <c r="G144" s="29"/>
      <c r="H144" s="4"/>
      <c r="O144" s="5"/>
      <c r="P144" s="5"/>
      <c r="Q144" s="5"/>
      <c r="R144" s="5"/>
    </row>
    <row r="145" spans="5:18" ht="15.75" customHeight="1">
      <c r="E145" s="31"/>
      <c r="F145" s="29"/>
      <c r="G145" s="29"/>
      <c r="H145" s="4"/>
      <c r="O145" s="5"/>
      <c r="P145" s="5"/>
      <c r="Q145" s="5"/>
      <c r="R145" s="5"/>
    </row>
    <row r="146" spans="5:18" ht="15.75" customHeight="1">
      <c r="E146" s="31"/>
      <c r="F146" s="29"/>
      <c r="G146" s="29"/>
      <c r="H146" s="4"/>
      <c r="O146" s="5"/>
      <c r="P146" s="5"/>
      <c r="Q146" s="5"/>
      <c r="R146" s="5"/>
    </row>
    <row r="147" spans="5:18" ht="15.75" customHeight="1">
      <c r="E147" s="31"/>
      <c r="F147" s="29"/>
      <c r="G147" s="29"/>
      <c r="H147" s="4"/>
      <c r="O147" s="5"/>
      <c r="P147" s="5"/>
      <c r="Q147" s="5"/>
      <c r="R147" s="5"/>
    </row>
    <row r="148" spans="5:18" ht="15.75" customHeight="1">
      <c r="E148" s="31"/>
      <c r="F148" s="29"/>
      <c r="G148" s="29"/>
      <c r="H148" s="4"/>
      <c r="O148" s="5"/>
      <c r="P148" s="5"/>
      <c r="Q148" s="5"/>
      <c r="R148" s="5"/>
    </row>
    <row r="149" spans="5:18" ht="15.75" customHeight="1">
      <c r="E149" s="31"/>
      <c r="F149" s="29"/>
      <c r="G149" s="29"/>
      <c r="H149" s="4"/>
      <c r="O149" s="5"/>
      <c r="P149" s="5"/>
      <c r="Q149" s="5"/>
      <c r="R149" s="5"/>
    </row>
    <row r="150" spans="5:18" ht="15.75" customHeight="1">
      <c r="E150" s="31"/>
      <c r="F150" s="29"/>
      <c r="G150" s="29"/>
      <c r="H150" s="4"/>
      <c r="O150" s="5"/>
      <c r="P150" s="5"/>
      <c r="Q150" s="5"/>
      <c r="R150" s="5"/>
    </row>
    <row r="151" spans="5:18" ht="15.75" customHeight="1">
      <c r="E151" s="31"/>
      <c r="F151" s="29"/>
      <c r="G151" s="29"/>
      <c r="H151" s="4"/>
      <c r="O151" s="5"/>
      <c r="P151" s="5"/>
      <c r="Q151" s="5"/>
      <c r="R151" s="5"/>
    </row>
    <row r="152" spans="5:18" ht="15.75" customHeight="1">
      <c r="E152" s="31"/>
      <c r="F152" s="29"/>
      <c r="G152" s="29"/>
      <c r="H152" s="4"/>
      <c r="O152" s="5"/>
      <c r="P152" s="5"/>
      <c r="Q152" s="5"/>
      <c r="R152" s="5"/>
    </row>
    <row r="153" spans="5:18" ht="15.75" customHeight="1">
      <c r="E153" s="31"/>
      <c r="F153" s="29"/>
      <c r="G153" s="29"/>
      <c r="H153" s="4"/>
      <c r="O153" s="5"/>
      <c r="P153" s="5"/>
      <c r="Q153" s="5"/>
      <c r="R153" s="5"/>
    </row>
    <row r="154" spans="5:18" ht="15.75" customHeight="1">
      <c r="E154" s="31"/>
      <c r="F154" s="29"/>
      <c r="G154" s="29"/>
      <c r="H154" s="4"/>
      <c r="O154" s="5"/>
      <c r="P154" s="5"/>
      <c r="Q154" s="5"/>
      <c r="R154" s="5"/>
    </row>
    <row r="155" spans="5:18" ht="15.75" customHeight="1">
      <c r="E155" s="31"/>
      <c r="F155" s="29"/>
      <c r="G155" s="29"/>
      <c r="H155" s="4"/>
      <c r="O155" s="5"/>
      <c r="P155" s="5"/>
      <c r="Q155" s="5"/>
      <c r="R155" s="5"/>
    </row>
    <row r="156" spans="5:18" ht="15.75" customHeight="1">
      <c r="E156" s="31"/>
      <c r="F156" s="29"/>
      <c r="G156" s="29"/>
      <c r="H156" s="4"/>
      <c r="O156" s="5"/>
      <c r="P156" s="5"/>
      <c r="Q156" s="5"/>
      <c r="R156" s="5"/>
    </row>
    <row r="157" spans="5:18" ht="15.75" customHeight="1">
      <c r="E157" s="31"/>
      <c r="F157" s="29"/>
      <c r="G157" s="29"/>
      <c r="H157" s="4"/>
      <c r="O157" s="5"/>
      <c r="P157" s="5"/>
      <c r="Q157" s="5"/>
      <c r="R157" s="5"/>
    </row>
    <row r="158" spans="5:18" ht="15.75" customHeight="1">
      <c r="E158" s="31"/>
      <c r="F158" s="29"/>
      <c r="G158" s="29"/>
      <c r="H158" s="4"/>
      <c r="O158" s="5"/>
      <c r="P158" s="5"/>
      <c r="Q158" s="5"/>
      <c r="R158" s="5"/>
    </row>
    <row r="159" spans="5:18" ht="15.75" customHeight="1">
      <c r="E159" s="31"/>
      <c r="F159" s="29"/>
      <c r="G159" s="29"/>
      <c r="H159" s="4"/>
      <c r="O159" s="5"/>
      <c r="P159" s="5"/>
      <c r="Q159" s="5"/>
      <c r="R159" s="5"/>
    </row>
    <row r="160" spans="5:18" ht="15.75" customHeight="1">
      <c r="E160" s="31"/>
      <c r="F160" s="29"/>
      <c r="G160" s="29"/>
      <c r="H160" s="4"/>
      <c r="O160" s="5"/>
      <c r="P160" s="5"/>
      <c r="Q160" s="5"/>
      <c r="R160" s="5"/>
    </row>
    <row r="161" spans="5:18" ht="15.75" customHeight="1">
      <c r="E161" s="31"/>
      <c r="F161" s="29"/>
      <c r="G161" s="29"/>
      <c r="H161" s="4"/>
      <c r="O161" s="5"/>
      <c r="P161" s="5"/>
      <c r="Q161" s="5"/>
      <c r="R161" s="5"/>
    </row>
    <row r="162" spans="5:18" ht="15.75" customHeight="1">
      <c r="E162" s="31"/>
      <c r="F162" s="29"/>
      <c r="G162" s="29"/>
      <c r="H162" s="4"/>
      <c r="O162" s="5"/>
      <c r="P162" s="5"/>
      <c r="Q162" s="5"/>
      <c r="R162" s="5"/>
    </row>
    <row r="163" spans="5:18" ht="15.75" customHeight="1">
      <c r="E163" s="31"/>
      <c r="F163" s="29"/>
      <c r="G163" s="29"/>
      <c r="H163" s="4"/>
      <c r="O163" s="5"/>
      <c r="P163" s="5"/>
      <c r="Q163" s="5"/>
      <c r="R163" s="5"/>
    </row>
    <row r="164" spans="5:18" ht="15.75" customHeight="1">
      <c r="E164" s="31"/>
      <c r="F164" s="29"/>
      <c r="G164" s="29"/>
      <c r="H164" s="4"/>
      <c r="O164" s="5"/>
      <c r="P164" s="5"/>
      <c r="Q164" s="5"/>
      <c r="R164" s="5"/>
    </row>
    <row r="165" spans="5:18" ht="15.75" customHeight="1">
      <c r="E165" s="31"/>
      <c r="F165" s="29"/>
      <c r="G165" s="29"/>
      <c r="H165" s="4"/>
      <c r="O165" s="5"/>
      <c r="P165" s="5"/>
      <c r="Q165" s="5"/>
      <c r="R165" s="5"/>
    </row>
    <row r="166" spans="5:18" ht="15.75" customHeight="1">
      <c r="E166" s="31"/>
      <c r="F166" s="29"/>
      <c r="G166" s="29"/>
      <c r="H166" s="4"/>
      <c r="O166" s="5"/>
      <c r="P166" s="5"/>
      <c r="Q166" s="5"/>
      <c r="R166" s="5"/>
    </row>
    <row r="167" spans="5:18" ht="15.75" customHeight="1">
      <c r="E167" s="31"/>
      <c r="F167" s="29"/>
      <c r="G167" s="29"/>
      <c r="H167" s="4"/>
      <c r="O167" s="5"/>
      <c r="P167" s="5"/>
      <c r="Q167" s="5"/>
      <c r="R167" s="5"/>
    </row>
    <row r="168" spans="5:18" ht="15.75" customHeight="1">
      <c r="E168" s="31"/>
      <c r="F168" s="29"/>
      <c r="G168" s="29"/>
      <c r="H168" s="4"/>
      <c r="O168" s="5"/>
      <c r="P168" s="5"/>
      <c r="Q168" s="5"/>
      <c r="R168" s="5"/>
    </row>
    <row r="169" spans="5:18" ht="15.75" customHeight="1">
      <c r="E169" s="31"/>
      <c r="F169" s="29"/>
      <c r="G169" s="29"/>
      <c r="H169" s="4"/>
      <c r="O169" s="5"/>
      <c r="P169" s="5"/>
      <c r="Q169" s="5"/>
      <c r="R169" s="5"/>
    </row>
    <row r="170" spans="5:18" ht="15.75" customHeight="1">
      <c r="E170" s="31"/>
      <c r="F170" s="29"/>
      <c r="G170" s="29"/>
      <c r="H170" s="4"/>
      <c r="O170" s="5"/>
      <c r="P170" s="5"/>
      <c r="Q170" s="5"/>
      <c r="R170" s="5"/>
    </row>
    <row r="171" spans="5:18" ht="15.75" customHeight="1">
      <c r="E171" s="31"/>
      <c r="F171" s="29"/>
      <c r="G171" s="29"/>
      <c r="H171" s="4"/>
      <c r="O171" s="5"/>
      <c r="P171" s="5"/>
      <c r="Q171" s="5"/>
      <c r="R171" s="5"/>
    </row>
    <row r="172" spans="5:18" ht="15.75" customHeight="1">
      <c r="E172" s="31"/>
      <c r="F172" s="29"/>
      <c r="G172" s="29"/>
      <c r="H172" s="4"/>
      <c r="O172" s="5"/>
      <c r="P172" s="5"/>
      <c r="Q172" s="5"/>
      <c r="R172" s="5"/>
    </row>
    <row r="173" spans="5:18" ht="15.75" customHeight="1">
      <c r="E173" s="31"/>
      <c r="F173" s="29"/>
      <c r="G173" s="29"/>
      <c r="H173" s="4"/>
      <c r="O173" s="5"/>
      <c r="P173" s="5"/>
      <c r="Q173" s="5"/>
      <c r="R173" s="5"/>
    </row>
    <row r="174" spans="5:18" ht="15.75" customHeight="1">
      <c r="E174" s="31"/>
      <c r="F174" s="29"/>
      <c r="G174" s="29"/>
      <c r="H174" s="4"/>
      <c r="O174" s="5"/>
      <c r="P174" s="5"/>
      <c r="Q174" s="5"/>
      <c r="R174" s="5"/>
    </row>
    <row r="175" spans="5:18" ht="15.75" customHeight="1">
      <c r="E175" s="31"/>
      <c r="F175" s="29"/>
      <c r="G175" s="29"/>
      <c r="H175" s="4"/>
      <c r="O175" s="5"/>
      <c r="P175" s="5"/>
      <c r="Q175" s="5"/>
      <c r="R175" s="5"/>
    </row>
    <row r="176" spans="5:18" ht="15.75" customHeight="1">
      <c r="E176" s="31"/>
      <c r="F176" s="29"/>
      <c r="G176" s="29"/>
      <c r="H176" s="4"/>
      <c r="O176" s="5"/>
      <c r="P176" s="5"/>
      <c r="Q176" s="5"/>
      <c r="R176" s="5"/>
    </row>
    <row r="177" spans="5:18" ht="15.75" customHeight="1">
      <c r="E177" s="31"/>
      <c r="F177" s="29"/>
      <c r="G177" s="29"/>
      <c r="H177" s="4"/>
      <c r="O177" s="5"/>
      <c r="P177" s="5"/>
      <c r="Q177" s="5"/>
      <c r="R177" s="5"/>
    </row>
    <row r="178" spans="5:18" ht="15.75" customHeight="1">
      <c r="E178" s="31"/>
      <c r="F178" s="29"/>
      <c r="G178" s="29"/>
      <c r="H178" s="4"/>
      <c r="O178" s="5"/>
      <c r="P178" s="5"/>
      <c r="Q178" s="5"/>
      <c r="R178" s="5"/>
    </row>
    <row r="179" spans="5:18" ht="15.75" customHeight="1">
      <c r="E179" s="31"/>
      <c r="F179" s="29"/>
      <c r="G179" s="29"/>
      <c r="H179" s="4"/>
      <c r="O179" s="5"/>
      <c r="P179" s="5"/>
      <c r="Q179" s="5"/>
      <c r="R179" s="5"/>
    </row>
    <row r="180" spans="5:18" ht="15.75" customHeight="1">
      <c r="E180" s="31"/>
      <c r="F180" s="29"/>
      <c r="G180" s="29"/>
      <c r="H180" s="4"/>
      <c r="O180" s="5"/>
      <c r="P180" s="5"/>
      <c r="Q180" s="5"/>
      <c r="R180" s="5"/>
    </row>
    <row r="181" spans="5:18" ht="15.75" customHeight="1">
      <c r="E181" s="31"/>
      <c r="F181" s="29"/>
      <c r="G181" s="29"/>
      <c r="H181" s="4"/>
      <c r="O181" s="5"/>
      <c r="P181" s="5"/>
      <c r="Q181" s="5"/>
      <c r="R181" s="5"/>
    </row>
    <row r="182" spans="5:18" ht="15.75" customHeight="1">
      <c r="E182" s="31"/>
      <c r="F182" s="29"/>
      <c r="G182" s="29"/>
      <c r="H182" s="4"/>
      <c r="O182" s="5"/>
      <c r="P182" s="5"/>
      <c r="Q182" s="5"/>
      <c r="R182" s="5"/>
    </row>
    <row r="183" spans="5:18" ht="15.75" customHeight="1">
      <c r="E183" s="31"/>
      <c r="F183" s="29"/>
      <c r="G183" s="29"/>
      <c r="H183" s="4"/>
      <c r="O183" s="5"/>
      <c r="P183" s="5"/>
      <c r="Q183" s="5"/>
      <c r="R183" s="5"/>
    </row>
    <row r="184" spans="5:18" ht="15.75" customHeight="1">
      <c r="E184" s="31"/>
      <c r="F184" s="29"/>
      <c r="G184" s="29"/>
      <c r="H184" s="4"/>
      <c r="O184" s="5"/>
      <c r="P184" s="5"/>
      <c r="Q184" s="5"/>
      <c r="R184" s="5"/>
    </row>
    <row r="185" spans="5:18" ht="15.75" customHeight="1">
      <c r="E185" s="31"/>
      <c r="F185" s="29"/>
      <c r="G185" s="29"/>
      <c r="H185" s="4"/>
      <c r="O185" s="5"/>
      <c r="P185" s="5"/>
      <c r="Q185" s="5"/>
      <c r="R185" s="5"/>
    </row>
    <row r="186" spans="5:18" ht="15.75" customHeight="1">
      <c r="E186" s="31"/>
      <c r="F186" s="29"/>
      <c r="G186" s="29"/>
      <c r="H186" s="4"/>
      <c r="O186" s="5"/>
      <c r="P186" s="5"/>
      <c r="Q186" s="5"/>
      <c r="R186" s="5"/>
    </row>
    <row r="187" spans="5:18" ht="15.75" customHeight="1">
      <c r="E187" s="31"/>
      <c r="F187" s="29"/>
      <c r="G187" s="29"/>
      <c r="H187" s="4"/>
      <c r="O187" s="5"/>
      <c r="P187" s="5"/>
      <c r="Q187" s="5"/>
      <c r="R187" s="5"/>
    </row>
    <row r="188" spans="5:18" ht="15.75" customHeight="1">
      <c r="E188" s="31"/>
      <c r="F188" s="29"/>
      <c r="G188" s="29"/>
      <c r="H188" s="4"/>
      <c r="O188" s="5"/>
      <c r="P188" s="5"/>
      <c r="Q188" s="5"/>
      <c r="R188" s="5"/>
    </row>
    <row r="189" spans="5:18" ht="15.75" customHeight="1">
      <c r="E189" s="31"/>
      <c r="F189" s="29"/>
      <c r="G189" s="29"/>
      <c r="H189" s="4"/>
      <c r="O189" s="5"/>
      <c r="P189" s="5"/>
      <c r="Q189" s="5"/>
      <c r="R189" s="5"/>
    </row>
    <row r="190" spans="5:18" ht="15.75" customHeight="1">
      <c r="E190" s="31"/>
      <c r="F190" s="29"/>
      <c r="G190" s="29"/>
      <c r="H190" s="4"/>
      <c r="O190" s="5"/>
      <c r="P190" s="5"/>
      <c r="Q190" s="5"/>
      <c r="R190" s="5"/>
    </row>
    <row r="191" spans="5:18" ht="15.75" customHeight="1">
      <c r="E191" s="31"/>
      <c r="F191" s="29"/>
      <c r="G191" s="29"/>
      <c r="H191" s="4"/>
      <c r="O191" s="5"/>
      <c r="P191" s="5"/>
      <c r="Q191" s="5"/>
      <c r="R191" s="5"/>
    </row>
    <row r="192" spans="5:18" ht="15.75" customHeight="1">
      <c r="E192" s="31"/>
      <c r="F192" s="29"/>
      <c r="G192" s="29"/>
      <c r="H192" s="4"/>
      <c r="O192" s="5"/>
      <c r="P192" s="5"/>
      <c r="Q192" s="5"/>
      <c r="R192" s="5"/>
    </row>
    <row r="193" spans="5:18" ht="15.75" customHeight="1">
      <c r="E193" s="31"/>
      <c r="F193" s="29"/>
      <c r="G193" s="29"/>
      <c r="H193" s="4"/>
      <c r="O193" s="5"/>
      <c r="P193" s="5"/>
      <c r="Q193" s="5"/>
      <c r="R193" s="5"/>
    </row>
    <row r="194" spans="5:18" ht="15.75" customHeight="1">
      <c r="E194" s="31"/>
      <c r="F194" s="29"/>
      <c r="G194" s="29"/>
      <c r="H194" s="4"/>
      <c r="O194" s="5"/>
      <c r="P194" s="5"/>
      <c r="Q194" s="5"/>
      <c r="R194" s="5"/>
    </row>
    <row r="195" spans="5:18" ht="15.75" customHeight="1">
      <c r="E195" s="31"/>
      <c r="F195" s="29"/>
      <c r="G195" s="29"/>
      <c r="H195" s="4"/>
      <c r="O195" s="5"/>
      <c r="P195" s="5"/>
      <c r="Q195" s="5"/>
      <c r="R195" s="5"/>
    </row>
    <row r="196" spans="5:18" ht="15.75" customHeight="1">
      <c r="E196" s="31"/>
      <c r="F196" s="29"/>
      <c r="G196" s="29"/>
      <c r="H196" s="4"/>
      <c r="O196" s="5"/>
      <c r="P196" s="5"/>
      <c r="Q196" s="5"/>
      <c r="R196" s="5"/>
    </row>
    <row r="197" spans="5:18" ht="15.75" customHeight="1">
      <c r="E197" s="31"/>
      <c r="F197" s="29"/>
      <c r="G197" s="29"/>
      <c r="H197" s="4"/>
      <c r="O197" s="5"/>
      <c r="P197" s="5"/>
      <c r="Q197" s="5"/>
      <c r="R197" s="5"/>
    </row>
    <row r="198" spans="5:18" ht="15.75" customHeight="1">
      <c r="E198" s="31"/>
      <c r="F198" s="29"/>
      <c r="G198" s="29"/>
      <c r="H198" s="4"/>
      <c r="O198" s="5"/>
      <c r="P198" s="5"/>
      <c r="Q198" s="5"/>
      <c r="R198" s="5"/>
    </row>
    <row r="199" spans="5:18" ht="15.75" customHeight="1">
      <c r="E199" s="31"/>
      <c r="F199" s="29"/>
      <c r="G199" s="29"/>
      <c r="H199" s="4"/>
      <c r="O199" s="5"/>
      <c r="P199" s="5"/>
      <c r="Q199" s="5"/>
      <c r="R199" s="5"/>
    </row>
    <row r="200" spans="5:18" ht="15.75" customHeight="1">
      <c r="E200" s="31"/>
      <c r="F200" s="29"/>
      <c r="G200" s="29"/>
      <c r="H200" s="4"/>
      <c r="O200" s="5"/>
      <c r="P200" s="5"/>
      <c r="Q200" s="5"/>
      <c r="R200" s="5"/>
    </row>
    <row r="201" spans="5:18" ht="15.75" customHeight="1">
      <c r="E201" s="31"/>
      <c r="F201" s="29"/>
      <c r="G201" s="29"/>
      <c r="H201" s="4"/>
      <c r="O201" s="5"/>
      <c r="P201" s="5"/>
      <c r="Q201" s="5"/>
      <c r="R201" s="5"/>
    </row>
    <row r="202" spans="5:18" ht="15.75" customHeight="1">
      <c r="E202" s="31"/>
      <c r="F202" s="29"/>
      <c r="G202" s="29"/>
      <c r="H202" s="4"/>
      <c r="O202" s="5"/>
      <c r="P202" s="5"/>
      <c r="Q202" s="5"/>
      <c r="R202" s="5"/>
    </row>
    <row r="203" spans="5:18" ht="15.75" customHeight="1">
      <c r="E203" s="31"/>
      <c r="F203" s="29"/>
      <c r="G203" s="29"/>
      <c r="H203" s="4"/>
      <c r="O203" s="5"/>
      <c r="P203" s="5"/>
      <c r="Q203" s="5"/>
      <c r="R203" s="5"/>
    </row>
    <row r="204" spans="5:18" ht="15.75" customHeight="1">
      <c r="E204" s="31"/>
      <c r="F204" s="29"/>
      <c r="G204" s="29"/>
      <c r="H204" s="4"/>
      <c r="O204" s="5"/>
      <c r="P204" s="5"/>
      <c r="Q204" s="5"/>
      <c r="R204" s="5"/>
    </row>
    <row r="205" spans="5:18" ht="15.75" customHeight="1">
      <c r="E205" s="31"/>
      <c r="F205" s="29"/>
      <c r="G205" s="29"/>
      <c r="H205" s="4"/>
      <c r="O205" s="5"/>
      <c r="P205" s="5"/>
      <c r="Q205" s="5"/>
      <c r="R205" s="5"/>
    </row>
    <row r="206" spans="5:18" ht="15.75" customHeight="1">
      <c r="E206" s="31"/>
      <c r="F206" s="29"/>
      <c r="G206" s="29"/>
      <c r="H206" s="4"/>
      <c r="O206" s="5"/>
      <c r="P206" s="5"/>
      <c r="Q206" s="5"/>
      <c r="R206" s="5"/>
    </row>
    <row r="207" spans="5:18" ht="15.75" customHeight="1">
      <c r="E207" s="31"/>
      <c r="F207" s="29"/>
      <c r="G207" s="29"/>
      <c r="H207" s="4"/>
      <c r="O207" s="5"/>
      <c r="P207" s="5"/>
      <c r="Q207" s="5"/>
      <c r="R207" s="5"/>
    </row>
    <row r="208" spans="5:18" ht="15.75" customHeight="1">
      <c r="E208" s="31"/>
      <c r="F208" s="29"/>
      <c r="G208" s="29"/>
      <c r="H208" s="4"/>
      <c r="O208" s="5"/>
      <c r="P208" s="5"/>
      <c r="Q208" s="5"/>
      <c r="R208" s="5"/>
    </row>
    <row r="209" spans="5:18" ht="15.75" customHeight="1">
      <c r="E209" s="31"/>
      <c r="F209" s="29"/>
      <c r="G209" s="29"/>
      <c r="H209" s="4"/>
      <c r="O209" s="5"/>
      <c r="P209" s="5"/>
      <c r="Q209" s="5"/>
      <c r="R209" s="5"/>
    </row>
    <row r="210" spans="5:18" ht="15.75" customHeight="1">
      <c r="E210" s="31"/>
      <c r="F210" s="29"/>
      <c r="G210" s="29"/>
      <c r="H210" s="4"/>
      <c r="O210" s="5"/>
      <c r="P210" s="5"/>
      <c r="Q210" s="5"/>
      <c r="R210" s="5"/>
    </row>
    <row r="211" spans="5:18" ht="15.75" customHeight="1">
      <c r="E211" s="31"/>
      <c r="F211" s="29"/>
      <c r="G211" s="29"/>
      <c r="H211" s="4"/>
      <c r="O211" s="5"/>
      <c r="P211" s="5"/>
      <c r="Q211" s="5"/>
      <c r="R211" s="5"/>
    </row>
    <row r="212" spans="5:18" ht="15.75" customHeight="1">
      <c r="E212" s="31"/>
      <c r="F212" s="29"/>
      <c r="G212" s="29"/>
      <c r="H212" s="4"/>
      <c r="O212" s="5"/>
      <c r="P212" s="5"/>
      <c r="Q212" s="5"/>
      <c r="R212" s="5"/>
    </row>
    <row r="213" spans="5:18" ht="15.75" customHeight="1">
      <c r="E213" s="31"/>
      <c r="F213" s="29"/>
      <c r="G213" s="29"/>
      <c r="H213" s="4"/>
      <c r="O213" s="5"/>
      <c r="P213" s="5"/>
      <c r="Q213" s="5"/>
      <c r="R213" s="5"/>
    </row>
    <row r="214" spans="5:18" ht="15.75" customHeight="1">
      <c r="E214" s="31"/>
      <c r="F214" s="29"/>
      <c r="G214" s="29"/>
      <c r="H214" s="4"/>
      <c r="O214" s="5"/>
      <c r="P214" s="5"/>
      <c r="Q214" s="5"/>
      <c r="R214" s="5"/>
    </row>
    <row r="215" spans="5:18" ht="15.75" customHeight="1">
      <c r="E215" s="31"/>
      <c r="F215" s="29"/>
      <c r="G215" s="29"/>
      <c r="H215" s="4"/>
      <c r="O215" s="5"/>
      <c r="P215" s="5"/>
      <c r="Q215" s="5"/>
      <c r="R215" s="5"/>
    </row>
    <row r="216" spans="5:18" ht="15.75" customHeight="1">
      <c r="E216" s="31"/>
      <c r="F216" s="29"/>
      <c r="G216" s="29"/>
      <c r="H216" s="4"/>
      <c r="O216" s="5"/>
      <c r="P216" s="5"/>
      <c r="Q216" s="5"/>
      <c r="R216" s="5"/>
    </row>
    <row r="217" spans="5:18" ht="15.75" customHeight="1">
      <c r="E217" s="31"/>
      <c r="F217" s="29"/>
      <c r="G217" s="29"/>
      <c r="H217" s="4"/>
      <c r="O217" s="5"/>
      <c r="P217" s="5"/>
      <c r="Q217" s="5"/>
      <c r="R217" s="5"/>
    </row>
    <row r="218" spans="5:18" ht="15.75" customHeight="1">
      <c r="E218" s="31"/>
      <c r="F218" s="29"/>
      <c r="G218" s="29"/>
      <c r="H218" s="4"/>
      <c r="O218" s="5"/>
      <c r="P218" s="5"/>
      <c r="Q218" s="5"/>
      <c r="R218" s="5"/>
    </row>
    <row r="219" spans="5:18" ht="15.75" customHeight="1">
      <c r="E219" s="31"/>
      <c r="F219" s="29"/>
      <c r="G219" s="29"/>
      <c r="H219" s="4"/>
      <c r="O219" s="5"/>
      <c r="P219" s="5"/>
      <c r="Q219" s="5"/>
      <c r="R219" s="5"/>
    </row>
    <row r="220" spans="5:18" ht="15.75" customHeight="1">
      <c r="E220" s="31"/>
      <c r="F220" s="29"/>
      <c r="G220" s="29"/>
      <c r="H220" s="4"/>
      <c r="O220" s="5"/>
      <c r="P220" s="5"/>
      <c r="Q220" s="5"/>
      <c r="R220" s="5"/>
    </row>
    <row r="221" spans="5:18" ht="15.75" customHeight="1">
      <c r="E221" s="31"/>
      <c r="F221" s="29"/>
      <c r="G221" s="29"/>
      <c r="H221" s="4"/>
      <c r="O221" s="5"/>
      <c r="P221" s="5"/>
      <c r="Q221" s="5"/>
      <c r="R221" s="5"/>
    </row>
    <row r="222" spans="5:18" ht="15.75" customHeight="1">
      <c r="E222" s="31"/>
      <c r="F222" s="29"/>
      <c r="G222" s="29"/>
      <c r="H222" s="4"/>
      <c r="O222" s="5"/>
      <c r="P222" s="5"/>
      <c r="Q222" s="5"/>
      <c r="R222" s="5"/>
    </row>
    <row r="223" spans="5:18" ht="15.75" customHeight="1">
      <c r="E223" s="31"/>
      <c r="F223" s="29"/>
      <c r="G223" s="29"/>
      <c r="H223" s="4"/>
      <c r="O223" s="5"/>
      <c r="P223" s="5"/>
      <c r="Q223" s="5"/>
      <c r="R223" s="5"/>
    </row>
    <row r="224" spans="5:18" ht="15.75" customHeight="1">
      <c r="E224" s="31"/>
      <c r="F224" s="29"/>
      <c r="G224" s="29"/>
      <c r="H224" s="4"/>
      <c r="O224" s="5"/>
      <c r="P224" s="5"/>
      <c r="Q224" s="5"/>
      <c r="R224" s="5"/>
    </row>
    <row r="225" spans="5:18" ht="15.75" customHeight="1">
      <c r="E225" s="31"/>
      <c r="F225" s="29"/>
      <c r="G225" s="29"/>
      <c r="H225" s="4"/>
      <c r="O225" s="5"/>
      <c r="P225" s="5"/>
      <c r="Q225" s="5"/>
      <c r="R225" s="5"/>
    </row>
    <row r="226" spans="5:18" ht="15.75" customHeight="1">
      <c r="E226" s="31"/>
      <c r="F226" s="29"/>
      <c r="G226" s="29"/>
      <c r="H226" s="4"/>
      <c r="O226" s="5"/>
      <c r="P226" s="5"/>
      <c r="Q226" s="5"/>
      <c r="R226" s="5"/>
    </row>
    <row r="227" spans="5:18" ht="15.75" customHeight="1">
      <c r="E227" s="31"/>
      <c r="F227" s="29"/>
      <c r="G227" s="29"/>
      <c r="H227" s="4"/>
      <c r="O227" s="5"/>
      <c r="P227" s="5"/>
      <c r="Q227" s="5"/>
      <c r="R227" s="5"/>
    </row>
    <row r="228" spans="5:18" ht="15.75" customHeight="1">
      <c r="E228" s="31"/>
      <c r="F228" s="29"/>
      <c r="G228" s="29"/>
      <c r="H228" s="4"/>
      <c r="O228" s="5"/>
      <c r="P228" s="5"/>
      <c r="Q228" s="5"/>
      <c r="R228" s="5"/>
    </row>
    <row r="229" spans="5:18" ht="15.75" customHeight="1">
      <c r="E229" s="31"/>
      <c r="F229" s="29"/>
      <c r="G229" s="29"/>
      <c r="H229" s="4"/>
      <c r="O229" s="5"/>
      <c r="P229" s="5"/>
      <c r="Q229" s="5"/>
      <c r="R229" s="5"/>
    </row>
    <row r="230" spans="5:18" ht="15.75" customHeight="1">
      <c r="E230" s="31"/>
      <c r="F230" s="29"/>
      <c r="G230" s="29"/>
      <c r="H230" s="4"/>
      <c r="O230" s="5"/>
      <c r="P230" s="5"/>
      <c r="Q230" s="5"/>
      <c r="R230" s="5"/>
    </row>
    <row r="231" spans="5:18" ht="15.75" customHeight="1">
      <c r="E231" s="31"/>
      <c r="F231" s="29"/>
      <c r="G231" s="29"/>
      <c r="H231" s="4"/>
      <c r="O231" s="5"/>
      <c r="P231" s="5"/>
      <c r="Q231" s="5"/>
      <c r="R231" s="5"/>
    </row>
    <row r="232" spans="5:18" ht="15.75" customHeight="1">
      <c r="E232" s="31"/>
      <c r="F232" s="29"/>
      <c r="G232" s="29"/>
      <c r="H232" s="4"/>
      <c r="O232" s="5"/>
      <c r="P232" s="5"/>
      <c r="Q232" s="5"/>
      <c r="R232" s="5"/>
    </row>
    <row r="233" spans="5:18" ht="15.75" customHeight="1">
      <c r="E233" s="31"/>
      <c r="F233" s="29"/>
      <c r="G233" s="29"/>
      <c r="H233" s="4"/>
      <c r="O233" s="5"/>
      <c r="P233" s="5"/>
      <c r="Q233" s="5"/>
      <c r="R233" s="5"/>
    </row>
    <row r="234" spans="5:18" ht="15.75" customHeight="1">
      <c r="E234" s="31"/>
      <c r="F234" s="29"/>
      <c r="G234" s="29"/>
      <c r="H234" s="4"/>
      <c r="O234" s="5"/>
      <c r="P234" s="5"/>
      <c r="Q234" s="5"/>
      <c r="R234" s="5"/>
    </row>
    <row r="235" spans="5:18" ht="15.75" customHeight="1">
      <c r="E235" s="31"/>
      <c r="F235" s="29"/>
      <c r="G235" s="29"/>
      <c r="H235" s="4"/>
      <c r="O235" s="5"/>
      <c r="P235" s="5"/>
      <c r="Q235" s="5"/>
      <c r="R235" s="5"/>
    </row>
    <row r="236" spans="5:18" ht="15.75" customHeight="1">
      <c r="E236" s="31"/>
      <c r="F236" s="29"/>
      <c r="G236" s="29"/>
      <c r="H236" s="4"/>
      <c r="O236" s="5"/>
      <c r="P236" s="5"/>
      <c r="Q236" s="5"/>
      <c r="R236" s="5"/>
    </row>
    <row r="237" spans="5:18" ht="15.75" customHeight="1">
      <c r="E237" s="31"/>
      <c r="F237" s="29"/>
      <c r="G237" s="29"/>
      <c r="H237" s="4"/>
      <c r="O237" s="5"/>
      <c r="P237" s="5"/>
      <c r="Q237" s="5"/>
      <c r="R237" s="5"/>
    </row>
    <row r="238" spans="5:18" ht="15.75" customHeight="1">
      <c r="E238" s="31"/>
      <c r="F238" s="29"/>
      <c r="G238" s="29"/>
      <c r="H238" s="4"/>
      <c r="O238" s="5"/>
      <c r="P238" s="5"/>
      <c r="Q238" s="5"/>
      <c r="R238" s="5"/>
    </row>
    <row r="239" spans="5:18" ht="15.75" customHeight="1">
      <c r="E239" s="31"/>
      <c r="F239" s="29"/>
      <c r="G239" s="29"/>
      <c r="H239" s="4"/>
      <c r="O239" s="5"/>
      <c r="P239" s="5"/>
      <c r="Q239" s="5"/>
      <c r="R239" s="5"/>
    </row>
    <row r="240" spans="5:18" ht="15.75" customHeight="1">
      <c r="E240" s="31"/>
      <c r="F240" s="29"/>
      <c r="G240" s="29"/>
      <c r="H240" s="4"/>
      <c r="O240" s="5"/>
      <c r="P240" s="5"/>
      <c r="Q240" s="5"/>
      <c r="R240" s="5"/>
    </row>
    <row r="241" spans="5:18" ht="15.75" customHeight="1">
      <c r="E241" s="31"/>
      <c r="F241" s="29"/>
      <c r="G241" s="29"/>
      <c r="H241" s="4"/>
      <c r="O241" s="5"/>
      <c r="P241" s="5"/>
      <c r="Q241" s="5"/>
      <c r="R241" s="5"/>
    </row>
    <row r="242" spans="5:18" ht="15.75" customHeight="1">
      <c r="E242" s="31"/>
      <c r="F242" s="29"/>
      <c r="G242" s="29"/>
      <c r="H242" s="4"/>
      <c r="O242" s="5"/>
      <c r="P242" s="5"/>
      <c r="Q242" s="5"/>
      <c r="R242" s="5"/>
    </row>
    <row r="243" spans="5:18" ht="15.75" customHeight="1">
      <c r="E243" s="31"/>
      <c r="F243" s="29"/>
      <c r="G243" s="29"/>
      <c r="H243" s="4"/>
      <c r="O243" s="5"/>
      <c r="P243" s="5"/>
      <c r="Q243" s="5"/>
      <c r="R243" s="5"/>
    </row>
    <row r="244" spans="5:18" ht="15.75" customHeight="1">
      <c r="E244" s="31"/>
      <c r="F244" s="29"/>
      <c r="G244" s="29"/>
      <c r="H244" s="4"/>
      <c r="O244" s="5"/>
      <c r="P244" s="5"/>
      <c r="Q244" s="5"/>
      <c r="R244" s="5"/>
    </row>
    <row r="245" spans="5:18" ht="15.75" customHeight="1">
      <c r="E245" s="31"/>
      <c r="F245" s="29"/>
      <c r="G245" s="29"/>
      <c r="H245" s="4"/>
      <c r="O245" s="5"/>
      <c r="P245" s="5"/>
      <c r="Q245" s="5"/>
      <c r="R245" s="5"/>
    </row>
    <row r="246" spans="5:18" ht="15.75" customHeight="1">
      <c r="E246" s="31"/>
      <c r="F246" s="29"/>
      <c r="G246" s="29"/>
      <c r="H246" s="4"/>
      <c r="O246" s="5"/>
      <c r="P246" s="5"/>
      <c r="Q246" s="5"/>
      <c r="R246" s="5"/>
    </row>
    <row r="247" spans="5:18" ht="15.75" customHeight="1">
      <c r="E247" s="31"/>
      <c r="F247" s="29"/>
      <c r="G247" s="29"/>
      <c r="H247" s="4"/>
      <c r="O247" s="5"/>
      <c r="P247" s="5"/>
      <c r="Q247" s="5"/>
      <c r="R247" s="5"/>
    </row>
    <row r="248" spans="5:18" ht="15.75" customHeight="1">
      <c r="E248" s="31"/>
      <c r="F248" s="29"/>
      <c r="G248" s="29"/>
      <c r="H248" s="4"/>
      <c r="O248" s="5"/>
      <c r="P248" s="5"/>
      <c r="Q248" s="5"/>
      <c r="R248" s="5"/>
    </row>
    <row r="249" spans="5:18" ht="15.75" customHeight="1">
      <c r="E249" s="5"/>
      <c r="H249" s="4"/>
    </row>
    <row r="250" spans="5:18" ht="15.75" customHeight="1">
      <c r="E250" s="5"/>
      <c r="H250" s="4"/>
    </row>
    <row r="251" spans="5:18" ht="15.75" customHeight="1">
      <c r="E251" s="5"/>
      <c r="H251" s="4"/>
    </row>
    <row r="252" spans="5:18" ht="15.75" customHeight="1">
      <c r="E252" s="5"/>
      <c r="H252" s="4"/>
    </row>
    <row r="253" spans="5:18" ht="15.75" customHeight="1">
      <c r="E253" s="5"/>
      <c r="H253" s="4"/>
    </row>
    <row r="254" spans="5:18" ht="15.75" customHeight="1">
      <c r="E254" s="5"/>
      <c r="H254" s="4"/>
    </row>
    <row r="255" spans="5:18" ht="15.75" customHeight="1">
      <c r="E255" s="5"/>
      <c r="H255" s="4"/>
    </row>
    <row r="256" spans="5:18" ht="15.75" customHeight="1">
      <c r="E256" s="5"/>
      <c r="H256" s="4"/>
    </row>
    <row r="257" spans="5:8" ht="15.75" customHeight="1">
      <c r="E257" s="5"/>
      <c r="H257" s="4"/>
    </row>
    <row r="258" spans="5:8" ht="15.75" customHeight="1">
      <c r="E258" s="5"/>
      <c r="H258" s="4"/>
    </row>
    <row r="259" spans="5:8" ht="15.75" customHeight="1">
      <c r="E259" s="5"/>
      <c r="H259" s="4"/>
    </row>
    <row r="260" spans="5:8" ht="15.75" customHeight="1">
      <c r="E260" s="5"/>
      <c r="H260" s="4"/>
    </row>
    <row r="261" spans="5:8" ht="15.75" customHeight="1">
      <c r="E261" s="5"/>
      <c r="H261" s="4"/>
    </row>
    <row r="262" spans="5:8" ht="15.75" customHeight="1">
      <c r="E262" s="5"/>
      <c r="H262" s="4"/>
    </row>
    <row r="263" spans="5:8" ht="15.75" customHeight="1">
      <c r="E263" s="5"/>
      <c r="H263" s="4"/>
    </row>
    <row r="264" spans="5:8" ht="15.75" customHeight="1">
      <c r="E264" s="5"/>
      <c r="H264" s="4"/>
    </row>
    <row r="265" spans="5:8" ht="15.75" customHeight="1">
      <c r="E265" s="5"/>
      <c r="H265" s="4"/>
    </row>
    <row r="266" spans="5:8" ht="15.75" customHeight="1">
      <c r="E266" s="5"/>
      <c r="H266" s="4"/>
    </row>
    <row r="267" spans="5:8" ht="15.75" customHeight="1">
      <c r="E267" s="5"/>
      <c r="H267" s="4"/>
    </row>
    <row r="268" spans="5:8" ht="15.75" customHeight="1">
      <c r="E268" s="5"/>
      <c r="H268" s="4"/>
    </row>
    <row r="269" spans="5:8" ht="15.75" customHeight="1">
      <c r="E269" s="5"/>
      <c r="H269" s="4"/>
    </row>
    <row r="270" spans="5:8" ht="15.75" customHeight="1">
      <c r="E270" s="5"/>
      <c r="H270" s="4"/>
    </row>
    <row r="271" spans="5:8" ht="15.75" customHeight="1">
      <c r="E271" s="5"/>
      <c r="H271" s="4"/>
    </row>
    <row r="272" spans="5:8" ht="15.75" customHeight="1">
      <c r="E272" s="5"/>
      <c r="H272" s="4"/>
    </row>
    <row r="273" spans="5:8" ht="15.75" customHeight="1">
      <c r="E273" s="5"/>
      <c r="H273" s="4"/>
    </row>
    <row r="274" spans="5:8" ht="15.75" customHeight="1">
      <c r="E274" s="5"/>
      <c r="H274" s="4"/>
    </row>
    <row r="275" spans="5:8" ht="15.75" customHeight="1">
      <c r="E275" s="5"/>
      <c r="H275" s="4"/>
    </row>
    <row r="276" spans="5:8" ht="15.75" customHeight="1">
      <c r="E276" s="5"/>
      <c r="H276" s="4"/>
    </row>
    <row r="277" spans="5:8" ht="15.75" customHeight="1">
      <c r="E277" s="5"/>
      <c r="H277" s="4"/>
    </row>
    <row r="278" spans="5:8" ht="15.75" customHeight="1">
      <c r="E278" s="5"/>
      <c r="H278" s="4"/>
    </row>
    <row r="279" spans="5:8" ht="15.75" customHeight="1">
      <c r="E279" s="5"/>
      <c r="H279" s="4"/>
    </row>
    <row r="280" spans="5:8" ht="15.75" customHeight="1">
      <c r="E280" s="5"/>
      <c r="H280" s="4"/>
    </row>
    <row r="281" spans="5:8" ht="15.75" customHeight="1">
      <c r="E281" s="5"/>
      <c r="H281" s="4"/>
    </row>
    <row r="282" spans="5:8" ht="15.75" customHeight="1">
      <c r="E282" s="5"/>
      <c r="H282" s="4"/>
    </row>
    <row r="283" spans="5:8" ht="15.75" customHeight="1">
      <c r="E283" s="5"/>
      <c r="H283" s="4"/>
    </row>
    <row r="284" spans="5:8" ht="15.75" customHeight="1">
      <c r="E284" s="5"/>
      <c r="H284" s="4"/>
    </row>
    <row r="285" spans="5:8" ht="15.75" customHeight="1">
      <c r="E285" s="5"/>
      <c r="H285" s="4"/>
    </row>
    <row r="286" spans="5:8" ht="15.75" customHeight="1">
      <c r="E286" s="5"/>
      <c r="H286" s="4"/>
    </row>
    <row r="287" spans="5:8" ht="15.75" customHeight="1">
      <c r="E287" s="5"/>
      <c r="H287" s="4"/>
    </row>
    <row r="288" spans="5:8" ht="15.75" customHeight="1">
      <c r="E288" s="5"/>
      <c r="H288" s="4"/>
    </row>
    <row r="289" spans="5:8" ht="15.75" customHeight="1">
      <c r="E289" s="5"/>
      <c r="H289" s="4"/>
    </row>
    <row r="290" spans="5:8" ht="15.75" customHeight="1">
      <c r="E290" s="5"/>
      <c r="H290" s="4"/>
    </row>
    <row r="291" spans="5:8" ht="15.75" customHeight="1">
      <c r="E291" s="5"/>
      <c r="H291" s="4"/>
    </row>
    <row r="292" spans="5:8" ht="15.75" customHeight="1">
      <c r="E292" s="5"/>
      <c r="H292" s="4"/>
    </row>
    <row r="293" spans="5:8" ht="15.75" customHeight="1">
      <c r="E293" s="5"/>
      <c r="H293" s="4"/>
    </row>
    <row r="294" spans="5:8" ht="15.75" customHeight="1">
      <c r="E294" s="5"/>
      <c r="H294" s="4"/>
    </row>
    <row r="295" spans="5:8" ht="15.75" customHeight="1">
      <c r="E295" s="5"/>
      <c r="H295" s="4"/>
    </row>
    <row r="296" spans="5:8" ht="15.75" customHeight="1">
      <c r="E296" s="5"/>
      <c r="H296" s="4"/>
    </row>
    <row r="297" spans="5:8" ht="15.75" customHeight="1">
      <c r="E297" s="5"/>
      <c r="H297" s="4"/>
    </row>
    <row r="298" spans="5:8" ht="15.75" customHeight="1">
      <c r="E298" s="5"/>
      <c r="H298" s="4"/>
    </row>
    <row r="299" spans="5:8" ht="15.75" customHeight="1">
      <c r="E299" s="5"/>
      <c r="H299" s="4"/>
    </row>
    <row r="300" spans="5:8" ht="15.75" customHeight="1">
      <c r="E300" s="5"/>
      <c r="H300" s="4"/>
    </row>
    <row r="301" spans="5:8" ht="15.75" customHeight="1">
      <c r="E301" s="5"/>
      <c r="H301" s="4"/>
    </row>
    <row r="302" spans="5:8" ht="15.75" customHeight="1">
      <c r="E302" s="5"/>
      <c r="H302" s="4"/>
    </row>
    <row r="303" spans="5:8" ht="15.75" customHeight="1">
      <c r="E303" s="5"/>
      <c r="H303" s="4"/>
    </row>
    <row r="304" spans="5:8" ht="15.75" customHeight="1">
      <c r="E304" s="5"/>
      <c r="H304" s="4"/>
    </row>
    <row r="305" spans="5:8" ht="15.75" customHeight="1">
      <c r="E305" s="5"/>
      <c r="H305" s="4"/>
    </row>
    <row r="306" spans="5:8" ht="15.75" customHeight="1">
      <c r="E306" s="5"/>
      <c r="H306" s="4"/>
    </row>
    <row r="307" spans="5:8" ht="15.75" customHeight="1">
      <c r="E307" s="5"/>
      <c r="H307" s="4"/>
    </row>
    <row r="308" spans="5:8" ht="15.75" customHeight="1">
      <c r="E308" s="5"/>
      <c r="H308" s="4"/>
    </row>
    <row r="309" spans="5:8" ht="15.75" customHeight="1">
      <c r="E309" s="5"/>
      <c r="H309" s="4"/>
    </row>
    <row r="310" spans="5:8" ht="15.75" customHeight="1">
      <c r="E310" s="5"/>
      <c r="H310" s="4"/>
    </row>
    <row r="311" spans="5:8" ht="15.75" customHeight="1">
      <c r="E311" s="5"/>
      <c r="H311" s="4"/>
    </row>
    <row r="312" spans="5:8" ht="15.75" customHeight="1">
      <c r="E312" s="5"/>
      <c r="H312" s="4"/>
    </row>
    <row r="313" spans="5:8" ht="15.75" customHeight="1">
      <c r="E313" s="5"/>
      <c r="H313" s="4"/>
    </row>
    <row r="314" spans="5:8" ht="15.75" customHeight="1">
      <c r="E314" s="5"/>
      <c r="H314" s="4"/>
    </row>
    <row r="315" spans="5:8" ht="15.75" customHeight="1">
      <c r="E315" s="5"/>
      <c r="H315" s="4"/>
    </row>
    <row r="316" spans="5:8" ht="15.75" customHeight="1">
      <c r="E316" s="5"/>
      <c r="H316" s="4"/>
    </row>
    <row r="317" spans="5:8" ht="15.75" customHeight="1">
      <c r="E317" s="5"/>
      <c r="H317" s="4"/>
    </row>
    <row r="318" spans="5:8" ht="15.75" customHeight="1">
      <c r="E318" s="5"/>
      <c r="H318" s="4"/>
    </row>
    <row r="319" spans="5:8" ht="15.75" customHeight="1">
      <c r="E319" s="5"/>
      <c r="H319" s="4"/>
    </row>
    <row r="320" spans="5:8" ht="15.75" customHeight="1">
      <c r="E320" s="5"/>
      <c r="H320" s="4"/>
    </row>
    <row r="321" spans="5:8" ht="15.75" customHeight="1">
      <c r="E321" s="5"/>
      <c r="H321" s="4"/>
    </row>
    <row r="322" spans="5:8" ht="15.75" customHeight="1">
      <c r="E322" s="5"/>
      <c r="H322" s="4"/>
    </row>
    <row r="323" spans="5:8" ht="15.75" customHeight="1">
      <c r="E323" s="5"/>
      <c r="H323" s="4"/>
    </row>
    <row r="324" spans="5:8" ht="15.75" customHeight="1">
      <c r="E324" s="5"/>
      <c r="H324" s="4"/>
    </row>
    <row r="325" spans="5:8" ht="15.75" customHeight="1">
      <c r="E325" s="5"/>
      <c r="H325" s="4"/>
    </row>
    <row r="326" spans="5:8" ht="15.75" customHeight="1">
      <c r="E326" s="5"/>
      <c r="H326" s="4"/>
    </row>
    <row r="327" spans="5:8" ht="15.75" customHeight="1">
      <c r="E327" s="5"/>
      <c r="H327" s="4"/>
    </row>
    <row r="328" spans="5:8" ht="15.75" customHeight="1">
      <c r="E328" s="5"/>
      <c r="H328" s="4"/>
    </row>
    <row r="329" spans="5:8" ht="15.75" customHeight="1">
      <c r="E329" s="5"/>
      <c r="H329" s="4"/>
    </row>
    <row r="330" spans="5:8" ht="15.75" customHeight="1">
      <c r="E330" s="5"/>
      <c r="H330" s="4"/>
    </row>
    <row r="331" spans="5:8" ht="15.75" customHeight="1">
      <c r="E331" s="5"/>
      <c r="H331" s="4"/>
    </row>
    <row r="332" spans="5:8" ht="15.75" customHeight="1">
      <c r="E332" s="5"/>
      <c r="H332" s="4"/>
    </row>
    <row r="333" spans="5:8" ht="15.75" customHeight="1">
      <c r="E333" s="5"/>
      <c r="H333" s="4"/>
    </row>
    <row r="334" spans="5:8" ht="15.75" customHeight="1">
      <c r="E334" s="5"/>
      <c r="H334" s="4"/>
    </row>
    <row r="335" spans="5:8" ht="15.75" customHeight="1">
      <c r="E335" s="5"/>
      <c r="H335" s="4"/>
    </row>
    <row r="336" spans="5:8" ht="15.75" customHeight="1">
      <c r="E336" s="5"/>
      <c r="H336" s="4"/>
    </row>
    <row r="337" spans="5:8" ht="15.75" customHeight="1">
      <c r="E337" s="5"/>
      <c r="H337" s="4"/>
    </row>
    <row r="338" spans="5:8" ht="15.75" customHeight="1">
      <c r="E338" s="5"/>
      <c r="H338" s="4"/>
    </row>
    <row r="339" spans="5:8" ht="15.75" customHeight="1">
      <c r="E339" s="5"/>
      <c r="H339" s="4"/>
    </row>
    <row r="340" spans="5:8" ht="15.75" customHeight="1">
      <c r="E340" s="5"/>
      <c r="H340" s="4"/>
    </row>
    <row r="341" spans="5:8" ht="15.75" customHeight="1">
      <c r="E341" s="5"/>
      <c r="H341" s="4"/>
    </row>
    <row r="342" spans="5:8" ht="15.75" customHeight="1">
      <c r="E342" s="5"/>
      <c r="H342" s="4"/>
    </row>
    <row r="343" spans="5:8" ht="15.75" customHeight="1">
      <c r="E343" s="5"/>
      <c r="H343" s="4"/>
    </row>
    <row r="344" spans="5:8" ht="15.75" customHeight="1">
      <c r="E344" s="5"/>
      <c r="H344" s="4"/>
    </row>
    <row r="345" spans="5:8" ht="15.75" customHeight="1">
      <c r="E345" s="5"/>
      <c r="H345" s="4"/>
    </row>
    <row r="346" spans="5:8" ht="15.75" customHeight="1">
      <c r="E346" s="5"/>
      <c r="H346" s="4"/>
    </row>
    <row r="347" spans="5:8" ht="15.75" customHeight="1">
      <c r="E347" s="5"/>
      <c r="H347" s="4"/>
    </row>
    <row r="348" spans="5:8" ht="15.75" customHeight="1">
      <c r="E348" s="5"/>
      <c r="H348" s="4"/>
    </row>
    <row r="349" spans="5:8" ht="15.75" customHeight="1">
      <c r="E349" s="5"/>
      <c r="H349" s="4"/>
    </row>
    <row r="350" spans="5:8" ht="15.75" customHeight="1">
      <c r="E350" s="5"/>
      <c r="H350" s="4"/>
    </row>
    <row r="351" spans="5:8" ht="15.75" customHeight="1">
      <c r="E351" s="5"/>
      <c r="H351" s="4"/>
    </row>
    <row r="352" spans="5:8" ht="15.75" customHeight="1">
      <c r="E352" s="5"/>
      <c r="H352" s="4"/>
    </row>
    <row r="353" spans="5:8" ht="15.75" customHeight="1">
      <c r="E353" s="5"/>
      <c r="H353" s="4"/>
    </row>
    <row r="354" spans="5:8" ht="15.75" customHeight="1">
      <c r="E354" s="5"/>
      <c r="H354" s="4"/>
    </row>
    <row r="355" spans="5:8" ht="15.75" customHeight="1">
      <c r="E355" s="5"/>
      <c r="H355" s="4"/>
    </row>
    <row r="356" spans="5:8" ht="15.75" customHeight="1">
      <c r="E356" s="5"/>
      <c r="H356" s="4"/>
    </row>
    <row r="357" spans="5:8" ht="15.75" customHeight="1">
      <c r="E357" s="5"/>
      <c r="H357" s="4"/>
    </row>
    <row r="358" spans="5:8" ht="15.75" customHeight="1">
      <c r="E358" s="5"/>
      <c r="H358" s="4"/>
    </row>
    <row r="359" spans="5:8" ht="15.75" customHeight="1">
      <c r="E359" s="5"/>
      <c r="H359" s="4"/>
    </row>
    <row r="360" spans="5:8" ht="15.75" customHeight="1">
      <c r="E360" s="5"/>
      <c r="H360" s="4"/>
    </row>
    <row r="361" spans="5:8" ht="15.75" customHeight="1">
      <c r="E361" s="5"/>
      <c r="H361" s="4"/>
    </row>
    <row r="362" spans="5:8" ht="15.75" customHeight="1">
      <c r="E362" s="5"/>
      <c r="H362" s="4"/>
    </row>
    <row r="363" spans="5:8" ht="15.75" customHeight="1">
      <c r="E363" s="5"/>
      <c r="H363" s="4"/>
    </row>
    <row r="364" spans="5:8" ht="15.75" customHeight="1">
      <c r="E364" s="5"/>
      <c r="H364" s="4"/>
    </row>
    <row r="365" spans="5:8" ht="15.75" customHeight="1">
      <c r="E365" s="5"/>
      <c r="H365" s="4"/>
    </row>
    <row r="366" spans="5:8" ht="15.75" customHeight="1">
      <c r="E366" s="5"/>
      <c r="H366" s="4"/>
    </row>
    <row r="367" spans="5:8" ht="15.75" customHeight="1">
      <c r="E367" s="5"/>
      <c r="H367" s="4"/>
    </row>
    <row r="368" spans="5:8" ht="15.75" customHeight="1">
      <c r="E368" s="5"/>
      <c r="H368" s="4"/>
    </row>
    <row r="369" spans="5:8" ht="15.75" customHeight="1">
      <c r="E369" s="5"/>
      <c r="H369" s="4"/>
    </row>
    <row r="370" spans="5:8" ht="15.75" customHeight="1">
      <c r="E370" s="5"/>
      <c r="H370" s="4"/>
    </row>
    <row r="371" spans="5:8" ht="15.75" customHeight="1">
      <c r="E371" s="5"/>
      <c r="H371" s="4"/>
    </row>
    <row r="372" spans="5:8" ht="15.75" customHeight="1">
      <c r="E372" s="5"/>
      <c r="H372" s="4"/>
    </row>
    <row r="373" spans="5:8" ht="15.75" customHeight="1">
      <c r="E373" s="5"/>
      <c r="H373" s="4"/>
    </row>
    <row r="374" spans="5:8" ht="15.75" customHeight="1">
      <c r="E374" s="5"/>
      <c r="H374" s="4"/>
    </row>
    <row r="375" spans="5:8" ht="15.75" customHeight="1">
      <c r="E375" s="5"/>
      <c r="H375" s="4"/>
    </row>
    <row r="376" spans="5:8" ht="15.75" customHeight="1">
      <c r="E376" s="5"/>
      <c r="H376" s="4"/>
    </row>
    <row r="377" spans="5:8" ht="15.75" customHeight="1">
      <c r="E377" s="5"/>
      <c r="H377" s="4"/>
    </row>
    <row r="378" spans="5:8" ht="15.75" customHeight="1">
      <c r="E378" s="5"/>
      <c r="H378" s="4"/>
    </row>
    <row r="379" spans="5:8" ht="15.75" customHeight="1">
      <c r="E379" s="5"/>
      <c r="H379" s="4"/>
    </row>
    <row r="380" spans="5:8" ht="15.75" customHeight="1">
      <c r="E380" s="5"/>
      <c r="H380" s="4"/>
    </row>
    <row r="381" spans="5:8" ht="15.75" customHeight="1">
      <c r="E381" s="5"/>
      <c r="H381" s="4"/>
    </row>
    <row r="382" spans="5:8" ht="15.75" customHeight="1">
      <c r="E382" s="5"/>
      <c r="H382" s="4"/>
    </row>
    <row r="383" spans="5:8" ht="15.75" customHeight="1">
      <c r="E383" s="5"/>
      <c r="H383" s="4"/>
    </row>
    <row r="384" spans="5:8" ht="15.75" customHeight="1">
      <c r="E384" s="5"/>
      <c r="H384" s="4"/>
    </row>
    <row r="385" spans="5:8" ht="15.75" customHeight="1">
      <c r="E385" s="5"/>
      <c r="H385" s="4"/>
    </row>
    <row r="386" spans="5:8" ht="15.75" customHeight="1">
      <c r="E386" s="5"/>
      <c r="H386" s="4"/>
    </row>
    <row r="387" spans="5:8" ht="15.75" customHeight="1">
      <c r="E387" s="5"/>
      <c r="H387" s="4"/>
    </row>
    <row r="388" spans="5:8" ht="15.75" customHeight="1">
      <c r="E388" s="5"/>
      <c r="H388" s="4"/>
    </row>
    <row r="389" spans="5:8" ht="15.75" customHeight="1">
      <c r="E389" s="5"/>
      <c r="H389" s="4"/>
    </row>
    <row r="390" spans="5:8" ht="15.75" customHeight="1">
      <c r="E390" s="5"/>
      <c r="H390" s="4"/>
    </row>
    <row r="391" spans="5:8" ht="15.75" customHeight="1">
      <c r="E391" s="5"/>
      <c r="H391" s="4"/>
    </row>
    <row r="392" spans="5:8" ht="15.75" customHeight="1">
      <c r="E392" s="5"/>
      <c r="H392" s="4"/>
    </row>
    <row r="393" spans="5:8" ht="15.75" customHeight="1">
      <c r="E393" s="5"/>
      <c r="H393" s="4"/>
    </row>
    <row r="394" spans="5:8" ht="15.75" customHeight="1">
      <c r="E394" s="5"/>
      <c r="H394" s="4"/>
    </row>
    <row r="395" spans="5:8" ht="15.75" customHeight="1">
      <c r="E395" s="5"/>
      <c r="H395" s="4"/>
    </row>
    <row r="396" spans="5:8" ht="15.75" customHeight="1">
      <c r="E396" s="5"/>
      <c r="H396" s="4"/>
    </row>
    <row r="397" spans="5:8" ht="15.75" customHeight="1">
      <c r="E397" s="5"/>
      <c r="H397" s="4"/>
    </row>
    <row r="398" spans="5:8" ht="15.75" customHeight="1">
      <c r="E398" s="5"/>
      <c r="H398" s="4"/>
    </row>
    <row r="399" spans="5:8" ht="15.75" customHeight="1">
      <c r="E399" s="5"/>
      <c r="H399" s="4"/>
    </row>
    <row r="400" spans="5:8" ht="15.75" customHeight="1">
      <c r="E400" s="5"/>
      <c r="H400" s="4"/>
    </row>
    <row r="401" spans="5:8" ht="15.75" customHeight="1">
      <c r="E401" s="5"/>
      <c r="H401" s="4"/>
    </row>
    <row r="402" spans="5:8" ht="15.75" customHeight="1">
      <c r="E402" s="5"/>
      <c r="H402" s="4"/>
    </row>
    <row r="403" spans="5:8" ht="15.75" customHeight="1">
      <c r="E403" s="5"/>
      <c r="H403" s="4"/>
    </row>
    <row r="404" spans="5:8" ht="15.75" customHeight="1">
      <c r="E404" s="5"/>
      <c r="H404" s="4"/>
    </row>
    <row r="405" spans="5:8" ht="15.75" customHeight="1">
      <c r="E405" s="5"/>
      <c r="H405" s="4"/>
    </row>
    <row r="406" spans="5:8" ht="15.75" customHeight="1">
      <c r="E406" s="5"/>
      <c r="H406" s="4"/>
    </row>
    <row r="407" spans="5:8" ht="15.75" customHeight="1">
      <c r="E407" s="5"/>
      <c r="H407" s="4"/>
    </row>
    <row r="408" spans="5:8" ht="15.75" customHeight="1">
      <c r="E408" s="5"/>
      <c r="H408" s="4"/>
    </row>
    <row r="409" spans="5:8" ht="15.75" customHeight="1">
      <c r="E409" s="5"/>
      <c r="H409" s="4"/>
    </row>
    <row r="410" spans="5:8" ht="15.75" customHeight="1">
      <c r="E410" s="5"/>
      <c r="H410" s="4"/>
    </row>
    <row r="411" spans="5:8" ht="15.75" customHeight="1">
      <c r="E411" s="5"/>
      <c r="H411" s="4"/>
    </row>
    <row r="412" spans="5:8" ht="15.75" customHeight="1">
      <c r="E412" s="5"/>
      <c r="H412" s="4"/>
    </row>
    <row r="413" spans="5:8" ht="15.75" customHeight="1">
      <c r="E413" s="5"/>
      <c r="H413" s="4"/>
    </row>
    <row r="414" spans="5:8" ht="15.75" customHeight="1">
      <c r="E414" s="5"/>
      <c r="H414" s="4"/>
    </row>
    <row r="415" spans="5:8" ht="15.75" customHeight="1">
      <c r="E415" s="5"/>
      <c r="H415" s="4"/>
    </row>
    <row r="416" spans="5:8" ht="15.75" customHeight="1">
      <c r="E416" s="5"/>
      <c r="H416" s="4"/>
    </row>
    <row r="417" spans="5:8" ht="15.75" customHeight="1">
      <c r="E417" s="5"/>
      <c r="H417" s="4"/>
    </row>
    <row r="418" spans="5:8" ht="15.75" customHeight="1">
      <c r="E418" s="5"/>
      <c r="H418" s="4"/>
    </row>
    <row r="419" spans="5:8" ht="15.75" customHeight="1">
      <c r="E419" s="5"/>
      <c r="H419" s="4"/>
    </row>
    <row r="420" spans="5:8" ht="15.75" customHeight="1">
      <c r="E420" s="5"/>
      <c r="H420" s="4"/>
    </row>
    <row r="421" spans="5:8" ht="15.75" customHeight="1">
      <c r="E421" s="5"/>
      <c r="H421" s="4"/>
    </row>
    <row r="422" spans="5:8" ht="15.75" customHeight="1">
      <c r="E422" s="5"/>
      <c r="H422" s="4"/>
    </row>
    <row r="423" spans="5:8" ht="15.75" customHeight="1">
      <c r="E423" s="5"/>
      <c r="H423" s="4"/>
    </row>
    <row r="424" spans="5:8" ht="15.75" customHeight="1">
      <c r="E424" s="5"/>
      <c r="H424" s="4"/>
    </row>
    <row r="425" spans="5:8" ht="15.75" customHeight="1">
      <c r="E425" s="5"/>
      <c r="H425" s="4"/>
    </row>
    <row r="426" spans="5:8" ht="15.75" customHeight="1">
      <c r="E426" s="5"/>
      <c r="H426" s="4"/>
    </row>
    <row r="427" spans="5:8" ht="15.75" customHeight="1">
      <c r="E427" s="5"/>
      <c r="H427" s="4"/>
    </row>
    <row r="428" spans="5:8" ht="15.75" customHeight="1">
      <c r="E428" s="5"/>
      <c r="H428" s="4"/>
    </row>
    <row r="429" spans="5:8" ht="15.75" customHeight="1">
      <c r="E429" s="5"/>
      <c r="H429" s="4"/>
    </row>
    <row r="430" spans="5:8" ht="15.75" customHeight="1">
      <c r="E430" s="5"/>
      <c r="H430" s="4"/>
    </row>
    <row r="431" spans="5:8" ht="15.75" customHeight="1">
      <c r="E431" s="5"/>
      <c r="H431" s="4"/>
    </row>
    <row r="432" spans="5:8" ht="15.75" customHeight="1">
      <c r="E432" s="5"/>
      <c r="H432" s="4"/>
    </row>
    <row r="433" spans="5:8" ht="15.75" customHeight="1">
      <c r="E433" s="5"/>
      <c r="H433" s="4"/>
    </row>
    <row r="434" spans="5:8" ht="15.75" customHeight="1">
      <c r="E434" s="5"/>
      <c r="H434" s="4"/>
    </row>
    <row r="435" spans="5:8" ht="15.75" customHeight="1">
      <c r="E435" s="5"/>
      <c r="H435" s="4"/>
    </row>
    <row r="436" spans="5:8" ht="15.75" customHeight="1">
      <c r="E436" s="5"/>
      <c r="H436" s="4"/>
    </row>
    <row r="437" spans="5:8" ht="15.75" customHeight="1">
      <c r="E437" s="5"/>
      <c r="H437" s="4"/>
    </row>
    <row r="438" spans="5:8" ht="15.75" customHeight="1">
      <c r="E438" s="5"/>
      <c r="H438" s="4"/>
    </row>
    <row r="439" spans="5:8" ht="15.75" customHeight="1">
      <c r="E439" s="5"/>
      <c r="H439" s="4"/>
    </row>
    <row r="440" spans="5:8" ht="15.75" customHeight="1">
      <c r="E440" s="5"/>
      <c r="H440" s="4"/>
    </row>
    <row r="441" spans="5:8" ht="15.75" customHeight="1">
      <c r="E441" s="5"/>
      <c r="H441" s="4"/>
    </row>
    <row r="442" spans="5:8" ht="15.75" customHeight="1">
      <c r="E442" s="5"/>
      <c r="H442" s="4"/>
    </row>
    <row r="443" spans="5:8" ht="15.75" customHeight="1">
      <c r="E443" s="5"/>
      <c r="H443" s="4"/>
    </row>
    <row r="444" spans="5:8" ht="15.75" customHeight="1">
      <c r="E444" s="5"/>
      <c r="H444" s="4"/>
    </row>
    <row r="445" spans="5:8" ht="15.75" customHeight="1">
      <c r="E445" s="5"/>
      <c r="H445" s="4"/>
    </row>
    <row r="446" spans="5:8" ht="15.75" customHeight="1">
      <c r="E446" s="5"/>
      <c r="H446" s="4"/>
    </row>
    <row r="447" spans="5:8" ht="15.75" customHeight="1">
      <c r="E447" s="5"/>
      <c r="H447" s="4"/>
    </row>
    <row r="448" spans="5:8" ht="15.75" customHeight="1">
      <c r="E448" s="5"/>
      <c r="H448" s="4"/>
    </row>
    <row r="449" spans="5:8" ht="15.75" customHeight="1">
      <c r="E449" s="5"/>
      <c r="H449" s="4"/>
    </row>
    <row r="450" spans="5:8" ht="15.75" customHeight="1">
      <c r="E450" s="5"/>
      <c r="H450" s="4"/>
    </row>
    <row r="451" spans="5:8" ht="15.75" customHeight="1">
      <c r="E451" s="5"/>
      <c r="H451" s="4"/>
    </row>
    <row r="452" spans="5:8" ht="15.75" customHeight="1">
      <c r="E452" s="5"/>
      <c r="H452" s="4"/>
    </row>
    <row r="453" spans="5:8" ht="15.75" customHeight="1">
      <c r="E453" s="5"/>
      <c r="H453" s="4"/>
    </row>
    <row r="454" spans="5:8" ht="15.75" customHeight="1">
      <c r="E454" s="5"/>
      <c r="H454" s="4"/>
    </row>
    <row r="455" spans="5:8" ht="15.75" customHeight="1">
      <c r="E455" s="5"/>
      <c r="H455" s="4"/>
    </row>
    <row r="456" spans="5:8" ht="15.75" customHeight="1">
      <c r="E456" s="5"/>
      <c r="H456" s="4"/>
    </row>
    <row r="457" spans="5:8" ht="15.75" customHeight="1">
      <c r="E457" s="5"/>
      <c r="H457" s="4"/>
    </row>
    <row r="458" spans="5:8" ht="15.75" customHeight="1">
      <c r="E458" s="5"/>
      <c r="H458" s="4"/>
    </row>
    <row r="459" spans="5:8" ht="15.75" customHeight="1">
      <c r="E459" s="5"/>
      <c r="H459" s="4"/>
    </row>
    <row r="460" spans="5:8" ht="15.75" customHeight="1">
      <c r="E460" s="5"/>
      <c r="H460" s="4"/>
    </row>
    <row r="461" spans="5:8" ht="15.75" customHeight="1">
      <c r="E461" s="5"/>
      <c r="H461" s="4"/>
    </row>
    <row r="462" spans="5:8" ht="15.75" customHeight="1">
      <c r="E462" s="5"/>
      <c r="H462" s="4"/>
    </row>
    <row r="463" spans="5:8" ht="15.75" customHeight="1">
      <c r="E463" s="5"/>
      <c r="H463" s="4"/>
    </row>
    <row r="464" spans="5:8" ht="15.75" customHeight="1">
      <c r="E464" s="5"/>
      <c r="H464" s="4"/>
    </row>
    <row r="465" spans="5:8" ht="15.75" customHeight="1">
      <c r="E465" s="5"/>
      <c r="H465" s="4"/>
    </row>
    <row r="466" spans="5:8" ht="15.75" customHeight="1">
      <c r="E466" s="5"/>
      <c r="H466" s="4"/>
    </row>
    <row r="467" spans="5:8" ht="15.75" customHeight="1">
      <c r="E467" s="5"/>
      <c r="H467" s="4"/>
    </row>
    <row r="468" spans="5:8" ht="15.75" customHeight="1">
      <c r="E468" s="5"/>
      <c r="H468" s="4"/>
    </row>
    <row r="469" spans="5:8" ht="15.75" customHeight="1">
      <c r="E469" s="5"/>
      <c r="H469" s="4"/>
    </row>
    <row r="470" spans="5:8" ht="15.75" customHeight="1">
      <c r="E470" s="5"/>
      <c r="H470" s="4"/>
    </row>
    <row r="471" spans="5:8" ht="15.75" customHeight="1">
      <c r="E471" s="5"/>
      <c r="H471" s="4"/>
    </row>
    <row r="472" spans="5:8" ht="15.75" customHeight="1">
      <c r="E472" s="5"/>
      <c r="H472" s="4"/>
    </row>
    <row r="473" spans="5:8" ht="15.75" customHeight="1">
      <c r="E473" s="5"/>
      <c r="H473" s="4"/>
    </row>
    <row r="474" spans="5:8" ht="15.75" customHeight="1">
      <c r="E474" s="5"/>
      <c r="H474" s="4"/>
    </row>
    <row r="475" spans="5:8" ht="15.75" customHeight="1">
      <c r="E475" s="5"/>
      <c r="H475" s="4"/>
    </row>
    <row r="476" spans="5:8" ht="15.75" customHeight="1">
      <c r="E476" s="5"/>
      <c r="H476" s="4"/>
    </row>
    <row r="477" spans="5:8" ht="15.75" customHeight="1">
      <c r="E477" s="5"/>
      <c r="H477" s="4"/>
    </row>
    <row r="478" spans="5:8" ht="15.75" customHeight="1">
      <c r="E478" s="5"/>
      <c r="H478" s="4"/>
    </row>
    <row r="479" spans="5:8" ht="15.75" customHeight="1">
      <c r="E479" s="5"/>
      <c r="H479" s="4"/>
    </row>
    <row r="480" spans="5:8" ht="15.75" customHeight="1">
      <c r="E480" s="5"/>
      <c r="H480" s="4"/>
    </row>
    <row r="481" spans="5:8" ht="15.75" customHeight="1">
      <c r="E481" s="5"/>
      <c r="H481" s="4"/>
    </row>
    <row r="482" spans="5:8" ht="15.75" customHeight="1">
      <c r="E482" s="5"/>
      <c r="H482" s="4"/>
    </row>
    <row r="483" spans="5:8" ht="15.75" customHeight="1">
      <c r="E483" s="5"/>
      <c r="H483" s="4"/>
    </row>
    <row r="484" spans="5:8" ht="15.75" customHeight="1">
      <c r="E484" s="5"/>
      <c r="H484" s="4"/>
    </row>
    <row r="485" spans="5:8" ht="15.75" customHeight="1">
      <c r="E485" s="5"/>
      <c r="H485" s="4"/>
    </row>
    <row r="486" spans="5:8" ht="15.75" customHeight="1">
      <c r="E486" s="5"/>
      <c r="H486" s="4"/>
    </row>
    <row r="487" spans="5:8" ht="15.75" customHeight="1">
      <c r="E487" s="5"/>
      <c r="H487" s="4"/>
    </row>
    <row r="488" spans="5:8" ht="15.75" customHeight="1">
      <c r="E488" s="5"/>
      <c r="H488" s="4"/>
    </row>
    <row r="489" spans="5:8" ht="15.75" customHeight="1">
      <c r="E489" s="5"/>
      <c r="H489" s="4"/>
    </row>
    <row r="490" spans="5:8" ht="15.75" customHeight="1">
      <c r="E490" s="5"/>
      <c r="H490" s="4"/>
    </row>
    <row r="491" spans="5:8" ht="15.75" customHeight="1">
      <c r="E491" s="5"/>
      <c r="H491" s="4"/>
    </row>
    <row r="492" spans="5:8" ht="15.75" customHeight="1">
      <c r="E492" s="5"/>
      <c r="H492" s="4"/>
    </row>
    <row r="493" spans="5:8" ht="15.75" customHeight="1">
      <c r="E493" s="5"/>
      <c r="H493" s="4"/>
    </row>
    <row r="494" spans="5:8" ht="15.75" customHeight="1">
      <c r="E494" s="5"/>
      <c r="H494" s="4"/>
    </row>
    <row r="495" spans="5:8" ht="15.75" customHeight="1">
      <c r="E495" s="5"/>
      <c r="H495" s="4"/>
    </row>
    <row r="496" spans="5:8" ht="15.75" customHeight="1">
      <c r="E496" s="5"/>
      <c r="H496" s="4"/>
    </row>
    <row r="497" spans="5:8" ht="15.75" customHeight="1">
      <c r="E497" s="5"/>
      <c r="H497" s="4"/>
    </row>
    <row r="498" spans="5:8" ht="15.75" customHeight="1">
      <c r="E498" s="5"/>
      <c r="H498" s="4"/>
    </row>
    <row r="499" spans="5:8" ht="15.75" customHeight="1">
      <c r="E499" s="5"/>
      <c r="H499" s="4"/>
    </row>
    <row r="500" spans="5:8" ht="15.75" customHeight="1">
      <c r="E500" s="5"/>
      <c r="H500" s="4"/>
    </row>
    <row r="501" spans="5:8" ht="15.75" customHeight="1">
      <c r="E501" s="5"/>
      <c r="H501" s="4"/>
    </row>
    <row r="502" spans="5:8" ht="15.75" customHeight="1">
      <c r="E502" s="5"/>
      <c r="H502" s="4"/>
    </row>
    <row r="503" spans="5:8" ht="15.75" customHeight="1">
      <c r="E503" s="5"/>
      <c r="H503" s="4"/>
    </row>
    <row r="504" spans="5:8" ht="15.75" customHeight="1">
      <c r="E504" s="5"/>
      <c r="H504" s="4"/>
    </row>
    <row r="505" spans="5:8" ht="15.75" customHeight="1">
      <c r="E505" s="5"/>
      <c r="H505" s="4"/>
    </row>
    <row r="506" spans="5:8" ht="15.75" customHeight="1">
      <c r="E506" s="5"/>
      <c r="H506" s="4"/>
    </row>
    <row r="507" spans="5:8" ht="15.75" customHeight="1">
      <c r="E507" s="5"/>
      <c r="H507" s="4"/>
    </row>
    <row r="508" spans="5:8" ht="15.75" customHeight="1">
      <c r="E508" s="5"/>
      <c r="H508" s="4"/>
    </row>
    <row r="509" spans="5:8" ht="15.75" customHeight="1">
      <c r="E509" s="5"/>
      <c r="H509" s="4"/>
    </row>
    <row r="510" spans="5:8" ht="15.75" customHeight="1">
      <c r="E510" s="5"/>
      <c r="H510" s="4"/>
    </row>
    <row r="511" spans="5:8" ht="15.75" customHeight="1">
      <c r="E511" s="5"/>
      <c r="H511" s="4"/>
    </row>
    <row r="512" spans="5:8" ht="15.75" customHeight="1">
      <c r="E512" s="5"/>
      <c r="H512" s="4"/>
    </row>
    <row r="513" spans="5:8" ht="15.75" customHeight="1">
      <c r="E513" s="5"/>
      <c r="H513" s="4"/>
    </row>
    <row r="514" spans="5:8" ht="15.75" customHeight="1">
      <c r="E514" s="5"/>
      <c r="H514" s="4"/>
    </row>
    <row r="515" spans="5:8" ht="15.75" customHeight="1">
      <c r="E515" s="5"/>
      <c r="H515" s="4"/>
    </row>
    <row r="516" spans="5:8" ht="15.75" customHeight="1">
      <c r="E516" s="5"/>
      <c r="H516" s="4"/>
    </row>
    <row r="517" spans="5:8" ht="15.75" customHeight="1">
      <c r="E517" s="5"/>
      <c r="H517" s="4"/>
    </row>
    <row r="518" spans="5:8" ht="15.75" customHeight="1">
      <c r="E518" s="5"/>
      <c r="H518" s="4"/>
    </row>
    <row r="519" spans="5:8" ht="15.75" customHeight="1">
      <c r="E519" s="5"/>
      <c r="H519" s="4"/>
    </row>
    <row r="520" spans="5:8" ht="15.75" customHeight="1">
      <c r="E520" s="5"/>
      <c r="H520" s="4"/>
    </row>
    <row r="521" spans="5:8" ht="15.75" customHeight="1">
      <c r="E521" s="5"/>
      <c r="H521" s="4"/>
    </row>
    <row r="522" spans="5:8" ht="15.75" customHeight="1">
      <c r="E522" s="5"/>
      <c r="H522" s="4"/>
    </row>
    <row r="523" spans="5:8" ht="15.75" customHeight="1">
      <c r="E523" s="5"/>
      <c r="H523" s="4"/>
    </row>
    <row r="524" spans="5:8" ht="15.75" customHeight="1">
      <c r="E524" s="5"/>
      <c r="H524" s="4"/>
    </row>
    <row r="525" spans="5:8" ht="15.75" customHeight="1">
      <c r="E525" s="5"/>
      <c r="H525" s="4"/>
    </row>
    <row r="526" spans="5:8" ht="15.75" customHeight="1">
      <c r="E526" s="5"/>
      <c r="H526" s="4"/>
    </row>
    <row r="527" spans="5:8" ht="15.75" customHeight="1">
      <c r="E527" s="5"/>
      <c r="H527" s="4"/>
    </row>
    <row r="528" spans="5:8" ht="15.75" customHeight="1">
      <c r="E528" s="5"/>
      <c r="H528" s="4"/>
    </row>
    <row r="529" spans="5:8" ht="15.75" customHeight="1">
      <c r="E529" s="5"/>
      <c r="H529" s="4"/>
    </row>
    <row r="530" spans="5:8" ht="15.75" customHeight="1">
      <c r="E530" s="5"/>
      <c r="H530" s="4"/>
    </row>
    <row r="531" spans="5:8" ht="15.75" customHeight="1">
      <c r="E531" s="5"/>
      <c r="H531" s="4"/>
    </row>
    <row r="532" spans="5:8" ht="15.75" customHeight="1">
      <c r="E532" s="5"/>
      <c r="H532" s="4"/>
    </row>
    <row r="533" spans="5:8" ht="15.75" customHeight="1">
      <c r="E533" s="5"/>
      <c r="H533" s="4"/>
    </row>
    <row r="534" spans="5:8" ht="15.75" customHeight="1">
      <c r="E534" s="5"/>
      <c r="H534" s="4"/>
    </row>
    <row r="535" spans="5:8" ht="15.75" customHeight="1">
      <c r="E535" s="5"/>
      <c r="H535" s="4"/>
    </row>
    <row r="536" spans="5:8" ht="15.75" customHeight="1">
      <c r="E536" s="5"/>
      <c r="H536" s="4"/>
    </row>
    <row r="537" spans="5:8" ht="15.75" customHeight="1">
      <c r="E537" s="5"/>
      <c r="H537" s="4"/>
    </row>
    <row r="538" spans="5:8" ht="15.75" customHeight="1">
      <c r="E538" s="5"/>
      <c r="H538" s="4"/>
    </row>
    <row r="539" spans="5:8" ht="15.75" customHeight="1">
      <c r="E539" s="5"/>
      <c r="H539" s="4"/>
    </row>
    <row r="540" spans="5:8" ht="15.75" customHeight="1">
      <c r="E540" s="5"/>
      <c r="H540" s="4"/>
    </row>
    <row r="541" spans="5:8" ht="15.75" customHeight="1">
      <c r="E541" s="5"/>
      <c r="H541" s="4"/>
    </row>
    <row r="542" spans="5:8" ht="15.75" customHeight="1">
      <c r="E542" s="5"/>
      <c r="H542" s="4"/>
    </row>
    <row r="543" spans="5:8" ht="15.75" customHeight="1">
      <c r="E543" s="5"/>
      <c r="H543" s="4"/>
    </row>
    <row r="544" spans="5:8" ht="15.75" customHeight="1">
      <c r="E544" s="5"/>
      <c r="H544" s="4"/>
    </row>
    <row r="545" spans="5:8" ht="15.75" customHeight="1">
      <c r="E545" s="5"/>
      <c r="H545" s="4"/>
    </row>
    <row r="546" spans="5:8" ht="15.75" customHeight="1">
      <c r="E546" s="5"/>
      <c r="H546" s="4"/>
    </row>
    <row r="547" spans="5:8" ht="15.75" customHeight="1">
      <c r="E547" s="5"/>
      <c r="H547" s="4"/>
    </row>
    <row r="548" spans="5:8" ht="15.75" customHeight="1">
      <c r="E548" s="5"/>
      <c r="H548" s="4"/>
    </row>
    <row r="549" spans="5:8" ht="15.75" customHeight="1">
      <c r="E549" s="5"/>
      <c r="H549" s="4"/>
    </row>
    <row r="550" spans="5:8" ht="15.75" customHeight="1">
      <c r="E550" s="5"/>
      <c r="H550" s="4"/>
    </row>
    <row r="551" spans="5:8" ht="15.75" customHeight="1">
      <c r="E551" s="5"/>
      <c r="H551" s="4"/>
    </row>
    <row r="552" spans="5:8" ht="15.75" customHeight="1">
      <c r="E552" s="5"/>
      <c r="H552" s="4"/>
    </row>
    <row r="553" spans="5:8" ht="15.75" customHeight="1">
      <c r="E553" s="5"/>
      <c r="H553" s="4"/>
    </row>
    <row r="554" spans="5:8" ht="15.75" customHeight="1">
      <c r="E554" s="5"/>
      <c r="H554" s="4"/>
    </row>
    <row r="555" spans="5:8" ht="15.75" customHeight="1">
      <c r="E555" s="5"/>
      <c r="H555" s="4"/>
    </row>
    <row r="556" spans="5:8" ht="15.75" customHeight="1">
      <c r="E556" s="5"/>
      <c r="H556" s="4"/>
    </row>
    <row r="557" spans="5:8" ht="15.75" customHeight="1">
      <c r="E557" s="5"/>
      <c r="H557" s="4"/>
    </row>
    <row r="558" spans="5:8" ht="15.75" customHeight="1">
      <c r="E558" s="5"/>
      <c r="H558" s="4"/>
    </row>
    <row r="559" spans="5:8" ht="15.75" customHeight="1">
      <c r="E559" s="5"/>
      <c r="H559" s="4"/>
    </row>
    <row r="560" spans="5:8" ht="15.75" customHeight="1">
      <c r="E560" s="5"/>
      <c r="H560" s="4"/>
    </row>
    <row r="561" spans="5:8" ht="15.75" customHeight="1">
      <c r="E561" s="5"/>
      <c r="H561" s="4"/>
    </row>
    <row r="562" spans="5:8" ht="15.75" customHeight="1">
      <c r="E562" s="5"/>
      <c r="H562" s="4"/>
    </row>
    <row r="563" spans="5:8" ht="15.75" customHeight="1">
      <c r="E563" s="5"/>
      <c r="H563" s="4"/>
    </row>
    <row r="564" spans="5:8" ht="15.75" customHeight="1">
      <c r="E564" s="5"/>
      <c r="H564" s="4"/>
    </row>
    <row r="565" spans="5:8" ht="15.75" customHeight="1">
      <c r="E565" s="5"/>
      <c r="H565" s="4"/>
    </row>
    <row r="566" spans="5:8" ht="15.75" customHeight="1">
      <c r="E566" s="5"/>
      <c r="H566" s="4"/>
    </row>
    <row r="567" spans="5:8" ht="15.75" customHeight="1">
      <c r="E567" s="5"/>
      <c r="H567" s="4"/>
    </row>
    <row r="568" spans="5:8" ht="15.75" customHeight="1">
      <c r="E568" s="5"/>
      <c r="H568" s="4"/>
    </row>
    <row r="569" spans="5:8" ht="15.75" customHeight="1">
      <c r="E569" s="5"/>
      <c r="H569" s="4"/>
    </row>
    <row r="570" spans="5:8" ht="15.75" customHeight="1">
      <c r="E570" s="5"/>
      <c r="H570" s="4"/>
    </row>
    <row r="571" spans="5:8" ht="15.75" customHeight="1">
      <c r="E571" s="5"/>
      <c r="H571" s="4"/>
    </row>
    <row r="572" spans="5:8" ht="15.75" customHeight="1">
      <c r="E572" s="5"/>
      <c r="H572" s="4"/>
    </row>
    <row r="573" spans="5:8" ht="15.75" customHeight="1">
      <c r="E573" s="5"/>
      <c r="H573" s="4"/>
    </row>
    <row r="574" spans="5:8" ht="15.75" customHeight="1">
      <c r="E574" s="5"/>
      <c r="H574" s="4"/>
    </row>
    <row r="575" spans="5:8" ht="15.75" customHeight="1">
      <c r="E575" s="5"/>
      <c r="H575" s="4"/>
    </row>
    <row r="576" spans="5:8" ht="15.75" customHeight="1">
      <c r="E576" s="5"/>
      <c r="H576" s="4"/>
    </row>
    <row r="577" spans="5:8" ht="15.75" customHeight="1">
      <c r="E577" s="5"/>
      <c r="H577" s="4"/>
    </row>
    <row r="578" spans="5:8" ht="15.75" customHeight="1">
      <c r="E578" s="5"/>
      <c r="H578" s="4"/>
    </row>
    <row r="579" spans="5:8" ht="15.75" customHeight="1">
      <c r="E579" s="5"/>
      <c r="H579" s="4"/>
    </row>
    <row r="580" spans="5:8" ht="15.75" customHeight="1">
      <c r="E580" s="5"/>
      <c r="H580" s="4"/>
    </row>
    <row r="581" spans="5:8" ht="15.75" customHeight="1">
      <c r="E581" s="5"/>
      <c r="H581" s="4"/>
    </row>
    <row r="582" spans="5:8" ht="15.75" customHeight="1">
      <c r="E582" s="5"/>
      <c r="H582" s="4"/>
    </row>
    <row r="583" spans="5:8" ht="15.75" customHeight="1">
      <c r="E583" s="5"/>
      <c r="H583" s="4"/>
    </row>
    <row r="584" spans="5:8" ht="15.75" customHeight="1">
      <c r="E584" s="5"/>
      <c r="H584" s="4"/>
    </row>
    <row r="585" spans="5:8" ht="15.75" customHeight="1">
      <c r="E585" s="5"/>
      <c r="H585" s="4"/>
    </row>
    <row r="586" spans="5:8" ht="15.75" customHeight="1">
      <c r="E586" s="5"/>
      <c r="H586" s="4"/>
    </row>
    <row r="587" spans="5:8" ht="15.75" customHeight="1">
      <c r="E587" s="5"/>
      <c r="H587" s="4"/>
    </row>
    <row r="588" spans="5:8" ht="15.75" customHeight="1">
      <c r="E588" s="5"/>
      <c r="H588" s="4"/>
    </row>
    <row r="589" spans="5:8" ht="15.75" customHeight="1">
      <c r="E589" s="5"/>
      <c r="H589" s="4"/>
    </row>
    <row r="590" spans="5:8" ht="15.75" customHeight="1">
      <c r="E590" s="5"/>
      <c r="H590" s="4"/>
    </row>
    <row r="591" spans="5:8" ht="15.75" customHeight="1">
      <c r="E591" s="5"/>
      <c r="H591" s="4"/>
    </row>
    <row r="592" spans="5:8" ht="15.75" customHeight="1">
      <c r="E592" s="5"/>
      <c r="H592" s="4"/>
    </row>
    <row r="593" spans="5:8" ht="15.75" customHeight="1">
      <c r="E593" s="5"/>
      <c r="H593" s="4"/>
    </row>
    <row r="594" spans="5:8" ht="15.75" customHeight="1">
      <c r="E594" s="5"/>
      <c r="H594" s="4"/>
    </row>
    <row r="595" spans="5:8" ht="15.75" customHeight="1">
      <c r="E595" s="5"/>
      <c r="H595" s="4"/>
    </row>
    <row r="596" spans="5:8" ht="15.75" customHeight="1">
      <c r="E596" s="5"/>
      <c r="H596" s="4"/>
    </row>
    <row r="597" spans="5:8" ht="15.75" customHeight="1">
      <c r="E597" s="5"/>
      <c r="H597" s="4"/>
    </row>
    <row r="598" spans="5:8" ht="15.75" customHeight="1">
      <c r="E598" s="5"/>
      <c r="H598" s="4"/>
    </row>
    <row r="599" spans="5:8" ht="15.75" customHeight="1">
      <c r="E599" s="5"/>
      <c r="H599" s="4"/>
    </row>
    <row r="600" spans="5:8" ht="15.75" customHeight="1">
      <c r="E600" s="5"/>
      <c r="H600" s="4"/>
    </row>
    <row r="601" spans="5:8" ht="15.75" customHeight="1">
      <c r="E601" s="5"/>
      <c r="H601" s="4"/>
    </row>
    <row r="602" spans="5:8" ht="15.75" customHeight="1">
      <c r="E602" s="5"/>
      <c r="H602" s="4"/>
    </row>
    <row r="603" spans="5:8" ht="15.75" customHeight="1">
      <c r="E603" s="5"/>
      <c r="H603" s="4"/>
    </row>
    <row r="604" spans="5:8" ht="15.75" customHeight="1">
      <c r="E604" s="5"/>
      <c r="H604" s="4"/>
    </row>
    <row r="605" spans="5:8" ht="15.75" customHeight="1">
      <c r="E605" s="5"/>
      <c r="H605" s="4"/>
    </row>
    <row r="606" spans="5:8" ht="15.75" customHeight="1">
      <c r="E606" s="5"/>
      <c r="H606" s="4"/>
    </row>
    <row r="607" spans="5:8" ht="15.75" customHeight="1">
      <c r="E607" s="5"/>
      <c r="H607" s="4"/>
    </row>
    <row r="608" spans="5:8" ht="15.75" customHeight="1">
      <c r="E608" s="5"/>
      <c r="H608" s="4"/>
    </row>
    <row r="609" spans="5:8" ht="15.75" customHeight="1">
      <c r="E609" s="5"/>
      <c r="H609" s="4"/>
    </row>
    <row r="610" spans="5:8" ht="15.75" customHeight="1">
      <c r="E610" s="5"/>
      <c r="H610" s="4"/>
    </row>
    <row r="611" spans="5:8" ht="15.75" customHeight="1">
      <c r="E611" s="5"/>
      <c r="H611" s="4"/>
    </row>
    <row r="612" spans="5:8" ht="15.75" customHeight="1">
      <c r="E612" s="5"/>
      <c r="H612" s="4"/>
    </row>
    <row r="613" spans="5:8" ht="15.75" customHeight="1">
      <c r="E613" s="5"/>
      <c r="H613" s="4"/>
    </row>
    <row r="614" spans="5:8" ht="15.75" customHeight="1">
      <c r="E614" s="5"/>
      <c r="H614" s="4"/>
    </row>
    <row r="615" spans="5:8" ht="15.75" customHeight="1">
      <c r="E615" s="5"/>
      <c r="H615" s="4"/>
    </row>
    <row r="616" spans="5:8" ht="15.75" customHeight="1">
      <c r="E616" s="5"/>
      <c r="H616" s="4"/>
    </row>
    <row r="617" spans="5:8" ht="15.75" customHeight="1">
      <c r="E617" s="5"/>
      <c r="H617" s="4"/>
    </row>
    <row r="618" spans="5:8" ht="15.75" customHeight="1">
      <c r="E618" s="5"/>
      <c r="H618" s="4"/>
    </row>
    <row r="619" spans="5:8" ht="15.75" customHeight="1">
      <c r="E619" s="5"/>
      <c r="H619" s="4"/>
    </row>
    <row r="620" spans="5:8" ht="15.75" customHeight="1">
      <c r="E620" s="5"/>
      <c r="H620" s="4"/>
    </row>
    <row r="621" spans="5:8" ht="15.75" customHeight="1">
      <c r="E621" s="5"/>
      <c r="H621" s="4"/>
    </row>
    <row r="622" spans="5:8" ht="15.75" customHeight="1">
      <c r="E622" s="5"/>
      <c r="H622" s="4"/>
    </row>
    <row r="623" spans="5:8" ht="15.75" customHeight="1">
      <c r="E623" s="5"/>
      <c r="H623" s="4"/>
    </row>
    <row r="624" spans="5:8" ht="15.75" customHeight="1">
      <c r="E624" s="5"/>
      <c r="H624" s="4"/>
    </row>
    <row r="625" spans="5:8" ht="15.75" customHeight="1">
      <c r="E625" s="5"/>
      <c r="H625" s="4"/>
    </row>
    <row r="626" spans="5:8" ht="15.75" customHeight="1">
      <c r="E626" s="5"/>
      <c r="H626" s="4"/>
    </row>
    <row r="627" spans="5:8" ht="15.75" customHeight="1">
      <c r="E627" s="5"/>
      <c r="H627" s="4"/>
    </row>
    <row r="628" spans="5:8" ht="15.75" customHeight="1">
      <c r="E628" s="5"/>
      <c r="H628" s="4"/>
    </row>
    <row r="629" spans="5:8" ht="15.75" customHeight="1">
      <c r="E629" s="5"/>
      <c r="H629" s="4"/>
    </row>
    <row r="630" spans="5:8" ht="15.75" customHeight="1">
      <c r="E630" s="5"/>
      <c r="H630" s="4"/>
    </row>
    <row r="631" spans="5:8" ht="15.75" customHeight="1">
      <c r="E631" s="5"/>
      <c r="H631" s="4"/>
    </row>
    <row r="632" spans="5:8" ht="15.75" customHeight="1">
      <c r="E632" s="5"/>
      <c r="H632" s="4"/>
    </row>
    <row r="633" spans="5:8" ht="15.75" customHeight="1">
      <c r="E633" s="5"/>
      <c r="H633" s="4"/>
    </row>
    <row r="634" spans="5:8" ht="15.75" customHeight="1">
      <c r="E634" s="5"/>
      <c r="H634" s="4"/>
    </row>
    <row r="635" spans="5:8" ht="15.75" customHeight="1">
      <c r="E635" s="5"/>
      <c r="H635" s="4"/>
    </row>
    <row r="636" spans="5:8" ht="15.75" customHeight="1">
      <c r="E636" s="5"/>
      <c r="H636" s="4"/>
    </row>
    <row r="637" spans="5:8" ht="15.75" customHeight="1">
      <c r="E637" s="5"/>
      <c r="H637" s="4"/>
    </row>
    <row r="638" spans="5:8" ht="15.75" customHeight="1">
      <c r="E638" s="5"/>
      <c r="H638" s="4"/>
    </row>
    <row r="639" spans="5:8" ht="15.75" customHeight="1">
      <c r="E639" s="5"/>
      <c r="H639" s="4"/>
    </row>
    <row r="640" spans="5:8" ht="15.75" customHeight="1">
      <c r="E640" s="5"/>
      <c r="H640" s="4"/>
    </row>
    <row r="641" spans="5:8" ht="15.75" customHeight="1">
      <c r="E641" s="5"/>
      <c r="H641" s="4"/>
    </row>
    <row r="642" spans="5:8" ht="15.75" customHeight="1">
      <c r="E642" s="5"/>
      <c r="H642" s="4"/>
    </row>
    <row r="643" spans="5:8" ht="15.75" customHeight="1">
      <c r="E643" s="5"/>
      <c r="H643" s="4"/>
    </row>
    <row r="644" spans="5:8" ht="15.75" customHeight="1">
      <c r="E644" s="5"/>
      <c r="H644" s="4"/>
    </row>
    <row r="645" spans="5:8" ht="15.75" customHeight="1">
      <c r="E645" s="5"/>
      <c r="H645" s="4"/>
    </row>
    <row r="646" spans="5:8" ht="15.75" customHeight="1">
      <c r="E646" s="5"/>
      <c r="H646" s="4"/>
    </row>
    <row r="647" spans="5:8" ht="15.75" customHeight="1">
      <c r="E647" s="5"/>
      <c r="H647" s="4"/>
    </row>
    <row r="648" spans="5:8" ht="15.75" customHeight="1">
      <c r="E648" s="5"/>
      <c r="H648" s="4"/>
    </row>
    <row r="649" spans="5:8" ht="15.75" customHeight="1">
      <c r="E649" s="5"/>
      <c r="H649" s="4"/>
    </row>
    <row r="650" spans="5:8" ht="15.75" customHeight="1">
      <c r="E650" s="5"/>
      <c r="H650" s="4"/>
    </row>
    <row r="651" spans="5:8" ht="15.75" customHeight="1">
      <c r="E651" s="5"/>
      <c r="H651" s="4"/>
    </row>
    <row r="652" spans="5:8" ht="15.75" customHeight="1">
      <c r="E652" s="5"/>
      <c r="H652" s="4"/>
    </row>
    <row r="653" spans="5:8" ht="15.75" customHeight="1">
      <c r="E653" s="5"/>
      <c r="H653" s="4"/>
    </row>
    <row r="654" spans="5:8" ht="15.75" customHeight="1">
      <c r="E654" s="5"/>
      <c r="H654" s="4"/>
    </row>
    <row r="655" spans="5:8" ht="15.75" customHeight="1">
      <c r="E655" s="5"/>
      <c r="H655" s="4"/>
    </row>
    <row r="656" spans="5:8" ht="15.75" customHeight="1">
      <c r="E656" s="5"/>
      <c r="H656" s="4"/>
    </row>
    <row r="657" spans="5:8" ht="15.75" customHeight="1">
      <c r="E657" s="5"/>
      <c r="H657" s="4"/>
    </row>
    <row r="658" spans="5:8" ht="15.75" customHeight="1">
      <c r="E658" s="5"/>
      <c r="H658" s="4"/>
    </row>
    <row r="659" spans="5:8" ht="15.75" customHeight="1">
      <c r="E659" s="5"/>
      <c r="H659" s="4"/>
    </row>
    <row r="660" spans="5:8" ht="15.75" customHeight="1">
      <c r="E660" s="5"/>
      <c r="H660" s="4"/>
    </row>
    <row r="661" spans="5:8" ht="15.75" customHeight="1">
      <c r="E661" s="5"/>
      <c r="H661" s="4"/>
    </row>
    <row r="662" spans="5:8" ht="15.75" customHeight="1">
      <c r="E662" s="5"/>
      <c r="H662" s="4"/>
    </row>
    <row r="663" spans="5:8" ht="15.75" customHeight="1">
      <c r="E663" s="5"/>
      <c r="H663" s="4"/>
    </row>
    <row r="664" spans="5:8" ht="15.75" customHeight="1">
      <c r="E664" s="5"/>
      <c r="H664" s="4"/>
    </row>
    <row r="665" spans="5:8" ht="15.75" customHeight="1">
      <c r="E665" s="5"/>
      <c r="H665" s="4"/>
    </row>
    <row r="666" spans="5:8" ht="15.75" customHeight="1">
      <c r="E666" s="5"/>
      <c r="H666" s="4"/>
    </row>
    <row r="667" spans="5:8" ht="15.75" customHeight="1">
      <c r="E667" s="5"/>
      <c r="H667" s="4"/>
    </row>
    <row r="668" spans="5:8" ht="15.75" customHeight="1">
      <c r="E668" s="5"/>
      <c r="H668" s="4"/>
    </row>
    <row r="669" spans="5:8" ht="15.75" customHeight="1">
      <c r="E669" s="5"/>
      <c r="H669" s="4"/>
    </row>
    <row r="670" spans="5:8" ht="15.75" customHeight="1">
      <c r="E670" s="5"/>
      <c r="H670" s="4"/>
    </row>
    <row r="671" spans="5:8" ht="15.75" customHeight="1">
      <c r="E671" s="5"/>
      <c r="H671" s="4"/>
    </row>
    <row r="672" spans="5:8" ht="15.75" customHeight="1">
      <c r="E672" s="5"/>
      <c r="H672" s="4"/>
    </row>
    <row r="673" spans="5:8" ht="15.75" customHeight="1">
      <c r="E673" s="5"/>
      <c r="H673" s="4"/>
    </row>
    <row r="674" spans="5:8" ht="15.75" customHeight="1">
      <c r="E674" s="5"/>
      <c r="H674" s="4"/>
    </row>
    <row r="675" spans="5:8" ht="15.75" customHeight="1">
      <c r="E675" s="5"/>
      <c r="H675" s="4"/>
    </row>
    <row r="676" spans="5:8" ht="15.75" customHeight="1">
      <c r="E676" s="5"/>
      <c r="H676" s="4"/>
    </row>
    <row r="677" spans="5:8" ht="15.75" customHeight="1">
      <c r="E677" s="5"/>
      <c r="H677" s="4"/>
    </row>
    <row r="678" spans="5:8" ht="15.75" customHeight="1">
      <c r="E678" s="5"/>
      <c r="H678" s="4"/>
    </row>
    <row r="679" spans="5:8" ht="15.75" customHeight="1">
      <c r="E679" s="5"/>
      <c r="H679" s="4"/>
    </row>
    <row r="680" spans="5:8" ht="15.75" customHeight="1">
      <c r="E680" s="5"/>
      <c r="H680" s="4"/>
    </row>
    <row r="681" spans="5:8" ht="15.75" customHeight="1">
      <c r="E681" s="5"/>
      <c r="H681" s="4"/>
    </row>
    <row r="682" spans="5:8" ht="15.75" customHeight="1">
      <c r="E682" s="5"/>
      <c r="H682" s="4"/>
    </row>
    <row r="683" spans="5:8" ht="15.75" customHeight="1">
      <c r="E683" s="5"/>
      <c r="H683" s="4"/>
    </row>
    <row r="684" spans="5:8" ht="15.75" customHeight="1">
      <c r="E684" s="5"/>
      <c r="H684" s="4"/>
    </row>
    <row r="685" spans="5:8" ht="15.75" customHeight="1">
      <c r="E685" s="5"/>
      <c r="H685" s="4"/>
    </row>
    <row r="686" spans="5:8" ht="15.75" customHeight="1">
      <c r="E686" s="5"/>
      <c r="H686" s="4"/>
    </row>
    <row r="687" spans="5:8" ht="15.75" customHeight="1">
      <c r="E687" s="5"/>
      <c r="H687" s="4"/>
    </row>
    <row r="688" spans="5:8" ht="15.75" customHeight="1">
      <c r="E688" s="5"/>
      <c r="H688" s="4"/>
    </row>
    <row r="689" spans="5:8" ht="15.75" customHeight="1">
      <c r="E689" s="5"/>
      <c r="H689" s="4"/>
    </row>
    <row r="690" spans="5:8" ht="15.75" customHeight="1">
      <c r="E690" s="5"/>
      <c r="H690" s="4"/>
    </row>
    <row r="691" spans="5:8" ht="15.75" customHeight="1">
      <c r="E691" s="5"/>
      <c r="H691" s="4"/>
    </row>
    <row r="692" spans="5:8" ht="15.75" customHeight="1">
      <c r="E692" s="5"/>
      <c r="H692" s="4"/>
    </row>
    <row r="693" spans="5:8" ht="15.75" customHeight="1">
      <c r="E693" s="5"/>
      <c r="H693" s="4"/>
    </row>
    <row r="694" spans="5:8" ht="15.75" customHeight="1">
      <c r="E694" s="5"/>
      <c r="H694" s="4"/>
    </row>
    <row r="695" spans="5:8" ht="15.75" customHeight="1">
      <c r="E695" s="5"/>
      <c r="H695" s="4"/>
    </row>
    <row r="696" spans="5:8" ht="15.75" customHeight="1">
      <c r="E696" s="5"/>
      <c r="H696" s="4"/>
    </row>
    <row r="697" spans="5:8" ht="15.75" customHeight="1">
      <c r="E697" s="5"/>
      <c r="H697" s="4"/>
    </row>
    <row r="698" spans="5:8" ht="15.75" customHeight="1">
      <c r="E698" s="5"/>
      <c r="H698" s="4"/>
    </row>
    <row r="699" spans="5:8" ht="15.75" customHeight="1">
      <c r="E699" s="5"/>
      <c r="H699" s="4"/>
    </row>
    <row r="700" spans="5:8" ht="15.75" customHeight="1">
      <c r="E700" s="5"/>
      <c r="H700" s="4"/>
    </row>
    <row r="701" spans="5:8" ht="15.75" customHeight="1">
      <c r="E701" s="5"/>
      <c r="H701" s="4"/>
    </row>
    <row r="702" spans="5:8" ht="15.75" customHeight="1">
      <c r="E702" s="5"/>
      <c r="H702" s="4"/>
    </row>
    <row r="703" spans="5:8" ht="15.75" customHeight="1">
      <c r="E703" s="5"/>
      <c r="H703" s="4"/>
    </row>
    <row r="704" spans="5:8" ht="15.75" customHeight="1">
      <c r="E704" s="5"/>
      <c r="H704" s="4"/>
    </row>
    <row r="705" spans="5:8" ht="15.75" customHeight="1">
      <c r="E705" s="5"/>
      <c r="H705" s="4"/>
    </row>
    <row r="706" spans="5:8" ht="15.75" customHeight="1">
      <c r="E706" s="5"/>
      <c r="H706" s="4"/>
    </row>
    <row r="707" spans="5:8" ht="15.75" customHeight="1">
      <c r="E707" s="5"/>
      <c r="H707" s="4"/>
    </row>
    <row r="708" spans="5:8" ht="15.75" customHeight="1">
      <c r="E708" s="5"/>
      <c r="H708" s="4"/>
    </row>
    <row r="709" spans="5:8" ht="15.75" customHeight="1">
      <c r="E709" s="5"/>
      <c r="H709" s="4"/>
    </row>
    <row r="710" spans="5:8" ht="15.75" customHeight="1">
      <c r="E710" s="5"/>
      <c r="H710" s="4"/>
    </row>
    <row r="711" spans="5:8" ht="15.75" customHeight="1">
      <c r="E711" s="5"/>
      <c r="H711" s="4"/>
    </row>
    <row r="712" spans="5:8" ht="15.75" customHeight="1">
      <c r="E712" s="5"/>
      <c r="H712" s="4"/>
    </row>
    <row r="713" spans="5:8" ht="15.75" customHeight="1">
      <c r="E713" s="5"/>
      <c r="H713" s="4"/>
    </row>
    <row r="714" spans="5:8" ht="15.75" customHeight="1">
      <c r="E714" s="5"/>
      <c r="H714" s="4"/>
    </row>
    <row r="715" spans="5:8" ht="15.75" customHeight="1">
      <c r="E715" s="5"/>
      <c r="H715" s="4"/>
    </row>
    <row r="716" spans="5:8" ht="15.75" customHeight="1">
      <c r="E716" s="5"/>
      <c r="H716" s="4"/>
    </row>
    <row r="717" spans="5:8" ht="15.75" customHeight="1">
      <c r="E717" s="5"/>
      <c r="H717" s="4"/>
    </row>
    <row r="718" spans="5:8" ht="15.75" customHeight="1">
      <c r="E718" s="5"/>
      <c r="H718" s="4"/>
    </row>
    <row r="719" spans="5:8" ht="15.75" customHeight="1">
      <c r="E719" s="5"/>
      <c r="H719" s="4"/>
    </row>
    <row r="720" spans="5:8" ht="15.75" customHeight="1">
      <c r="E720" s="5"/>
      <c r="H720" s="4"/>
    </row>
    <row r="721" spans="5:8" ht="15.75" customHeight="1">
      <c r="E721" s="5"/>
      <c r="H721" s="4"/>
    </row>
    <row r="722" spans="5:8" ht="15.75" customHeight="1">
      <c r="E722" s="5"/>
      <c r="H722" s="4"/>
    </row>
    <row r="723" spans="5:8" ht="15.75" customHeight="1">
      <c r="E723" s="5"/>
      <c r="H723" s="4"/>
    </row>
    <row r="724" spans="5:8" ht="15.75" customHeight="1">
      <c r="E724" s="5"/>
      <c r="H724" s="4"/>
    </row>
    <row r="725" spans="5:8" ht="15.75" customHeight="1">
      <c r="E725" s="5"/>
      <c r="H725" s="4"/>
    </row>
    <row r="726" spans="5:8" ht="15.75" customHeight="1">
      <c r="E726" s="5"/>
      <c r="H726" s="4"/>
    </row>
    <row r="727" spans="5:8" ht="15.75" customHeight="1">
      <c r="E727" s="5"/>
      <c r="H727" s="4"/>
    </row>
    <row r="728" spans="5:8" ht="15.75" customHeight="1">
      <c r="E728" s="5"/>
      <c r="H728" s="4"/>
    </row>
    <row r="729" spans="5:8" ht="15.75" customHeight="1">
      <c r="E729" s="5"/>
      <c r="H729" s="4"/>
    </row>
    <row r="730" spans="5:8" ht="15.75" customHeight="1">
      <c r="E730" s="5"/>
      <c r="H730" s="4"/>
    </row>
    <row r="731" spans="5:8" ht="15.75" customHeight="1">
      <c r="E731" s="5"/>
      <c r="H731" s="4"/>
    </row>
    <row r="732" spans="5:8" ht="15.75" customHeight="1">
      <c r="E732" s="5"/>
      <c r="H732" s="4"/>
    </row>
    <row r="733" spans="5:8" ht="15.75" customHeight="1">
      <c r="E733" s="5"/>
      <c r="H733" s="4"/>
    </row>
    <row r="734" spans="5:8" ht="15.75" customHeight="1">
      <c r="E734" s="5"/>
      <c r="H734" s="4"/>
    </row>
    <row r="735" spans="5:8" ht="15.75" customHeight="1">
      <c r="E735" s="5"/>
      <c r="H735" s="4"/>
    </row>
    <row r="736" spans="5:8" ht="15.75" customHeight="1">
      <c r="E736" s="5"/>
      <c r="H736" s="4"/>
    </row>
    <row r="737" spans="5:8" ht="15.75" customHeight="1">
      <c r="E737" s="5"/>
      <c r="H737" s="4"/>
    </row>
    <row r="738" spans="5:8" ht="15.75" customHeight="1">
      <c r="E738" s="5"/>
      <c r="H738" s="4"/>
    </row>
    <row r="739" spans="5:8" ht="15.75" customHeight="1">
      <c r="E739" s="5"/>
      <c r="H739" s="4"/>
    </row>
    <row r="740" spans="5:8" ht="15.75" customHeight="1">
      <c r="E740" s="5"/>
      <c r="H740" s="4"/>
    </row>
    <row r="741" spans="5:8" ht="15.75" customHeight="1">
      <c r="E741" s="5"/>
      <c r="H741" s="4"/>
    </row>
    <row r="742" spans="5:8" ht="15.75" customHeight="1">
      <c r="E742" s="5"/>
      <c r="H742" s="4"/>
    </row>
    <row r="743" spans="5:8" ht="15.75" customHeight="1">
      <c r="E743" s="5"/>
      <c r="H743" s="4"/>
    </row>
    <row r="744" spans="5:8" ht="15.75" customHeight="1">
      <c r="E744" s="5"/>
      <c r="H744" s="4"/>
    </row>
    <row r="745" spans="5:8" ht="15.75" customHeight="1">
      <c r="E745" s="5"/>
      <c r="H745" s="4"/>
    </row>
    <row r="746" spans="5:8" ht="15.75" customHeight="1">
      <c r="E746" s="5"/>
      <c r="H746" s="4"/>
    </row>
    <row r="747" spans="5:8" ht="15.75" customHeight="1">
      <c r="E747" s="5"/>
      <c r="H747" s="4"/>
    </row>
    <row r="748" spans="5:8" ht="15.75" customHeight="1">
      <c r="E748" s="5"/>
      <c r="H748" s="4"/>
    </row>
    <row r="749" spans="5:8" ht="15.75" customHeight="1">
      <c r="E749" s="5"/>
      <c r="H749" s="4"/>
    </row>
    <row r="750" spans="5:8" ht="15.75" customHeight="1">
      <c r="E750" s="5"/>
      <c r="H750" s="4"/>
    </row>
    <row r="751" spans="5:8" ht="15.75" customHeight="1">
      <c r="E751" s="5"/>
      <c r="H751" s="4"/>
    </row>
    <row r="752" spans="5:8" ht="15.75" customHeight="1">
      <c r="E752" s="5"/>
      <c r="H752" s="4"/>
    </row>
    <row r="753" spans="5:8" ht="15.75" customHeight="1">
      <c r="E753" s="5"/>
      <c r="H753" s="4"/>
    </row>
    <row r="754" spans="5:8" ht="15.75" customHeight="1">
      <c r="E754" s="5"/>
      <c r="H754" s="4"/>
    </row>
    <row r="755" spans="5:8" ht="15.75" customHeight="1">
      <c r="E755" s="5"/>
      <c r="H755" s="4"/>
    </row>
    <row r="756" spans="5:8" ht="15.75" customHeight="1">
      <c r="E756" s="5"/>
      <c r="H756" s="4"/>
    </row>
    <row r="757" spans="5:8" ht="15.75" customHeight="1">
      <c r="E757" s="5"/>
      <c r="H757" s="4"/>
    </row>
    <row r="758" spans="5:8" ht="15.75" customHeight="1">
      <c r="E758" s="5"/>
      <c r="H758" s="4"/>
    </row>
    <row r="759" spans="5:8" ht="15.75" customHeight="1">
      <c r="E759" s="5"/>
      <c r="H759" s="4"/>
    </row>
    <row r="760" spans="5:8" ht="15.75" customHeight="1">
      <c r="E760" s="5"/>
      <c r="H760" s="4"/>
    </row>
    <row r="761" spans="5:8" ht="15.75" customHeight="1">
      <c r="E761" s="5"/>
      <c r="H761" s="4"/>
    </row>
    <row r="762" spans="5:8" ht="15.75" customHeight="1">
      <c r="E762" s="5"/>
      <c r="H762" s="4"/>
    </row>
    <row r="763" spans="5:8" ht="15.75" customHeight="1">
      <c r="E763" s="5"/>
      <c r="H763" s="4"/>
    </row>
    <row r="764" spans="5:8" ht="15.75" customHeight="1">
      <c r="E764" s="5"/>
      <c r="H764" s="4"/>
    </row>
    <row r="765" spans="5:8" ht="15.75" customHeight="1">
      <c r="E765" s="5"/>
      <c r="H765" s="4"/>
    </row>
    <row r="766" spans="5:8" ht="15.75" customHeight="1">
      <c r="E766" s="5"/>
      <c r="H766" s="4"/>
    </row>
    <row r="767" spans="5:8" ht="15.75" customHeight="1">
      <c r="E767" s="5"/>
      <c r="H767" s="4"/>
    </row>
    <row r="768" spans="5:8" ht="15.75" customHeight="1">
      <c r="E768" s="5"/>
      <c r="H768" s="4"/>
    </row>
    <row r="769" spans="5:8" ht="15.75" customHeight="1">
      <c r="E769" s="5"/>
      <c r="H769" s="4"/>
    </row>
    <row r="770" spans="5:8" ht="15.75" customHeight="1">
      <c r="E770" s="5"/>
      <c r="H770" s="4"/>
    </row>
    <row r="771" spans="5:8" ht="15.75" customHeight="1">
      <c r="E771" s="5"/>
      <c r="H771" s="4"/>
    </row>
    <row r="772" spans="5:8" ht="15.75" customHeight="1">
      <c r="E772" s="5"/>
      <c r="H772" s="4"/>
    </row>
    <row r="773" spans="5:8" ht="15.75" customHeight="1">
      <c r="E773" s="5"/>
      <c r="H773" s="4"/>
    </row>
    <row r="774" spans="5:8" ht="15.75" customHeight="1">
      <c r="E774" s="5"/>
      <c r="H774" s="4"/>
    </row>
    <row r="775" spans="5:8" ht="15.75" customHeight="1">
      <c r="E775" s="5"/>
      <c r="H775" s="4"/>
    </row>
    <row r="776" spans="5:8" ht="15.75" customHeight="1">
      <c r="E776" s="5"/>
      <c r="H776" s="4"/>
    </row>
    <row r="777" spans="5:8" ht="15.75" customHeight="1">
      <c r="E777" s="5"/>
      <c r="H777" s="4"/>
    </row>
    <row r="778" spans="5:8" ht="15.75" customHeight="1">
      <c r="E778" s="5"/>
      <c r="H778" s="4"/>
    </row>
    <row r="779" spans="5:8" ht="15.75" customHeight="1">
      <c r="E779" s="5"/>
      <c r="H779" s="4"/>
    </row>
    <row r="780" spans="5:8" ht="15.75" customHeight="1">
      <c r="E780" s="5"/>
      <c r="H780" s="4"/>
    </row>
    <row r="781" spans="5:8" ht="15.75" customHeight="1">
      <c r="E781" s="5"/>
      <c r="H781" s="4"/>
    </row>
    <row r="782" spans="5:8" ht="15.75" customHeight="1">
      <c r="E782" s="5"/>
      <c r="H782" s="4"/>
    </row>
    <row r="783" spans="5:8" ht="15.75" customHeight="1">
      <c r="E783" s="5"/>
      <c r="H783" s="4"/>
    </row>
    <row r="784" spans="5:8" ht="15.75" customHeight="1">
      <c r="E784" s="5"/>
      <c r="H784" s="4"/>
    </row>
    <row r="785" spans="5:8" ht="15.75" customHeight="1">
      <c r="E785" s="5"/>
      <c r="H785" s="4"/>
    </row>
    <row r="786" spans="5:8" ht="15.75" customHeight="1">
      <c r="E786" s="5"/>
      <c r="H786" s="4"/>
    </row>
    <row r="787" spans="5:8" ht="15.75" customHeight="1">
      <c r="E787" s="5"/>
      <c r="H787" s="4"/>
    </row>
    <row r="788" spans="5:8" ht="15.75" customHeight="1">
      <c r="E788" s="5"/>
      <c r="H788" s="4"/>
    </row>
    <row r="789" spans="5:8" ht="15.75" customHeight="1">
      <c r="E789" s="5"/>
      <c r="H789" s="4"/>
    </row>
    <row r="790" spans="5:8" ht="15.75" customHeight="1">
      <c r="E790" s="5"/>
      <c r="H790" s="4"/>
    </row>
    <row r="791" spans="5:8" ht="15.75" customHeight="1">
      <c r="E791" s="5"/>
      <c r="H791" s="4"/>
    </row>
    <row r="792" spans="5:8" ht="15.75" customHeight="1">
      <c r="E792" s="5"/>
      <c r="H792" s="4"/>
    </row>
    <row r="793" spans="5:8" ht="15.75" customHeight="1">
      <c r="E793" s="5"/>
      <c r="H793" s="4"/>
    </row>
    <row r="794" spans="5:8" ht="15.75" customHeight="1">
      <c r="E794" s="5"/>
      <c r="H794" s="4"/>
    </row>
    <row r="795" spans="5:8" ht="15.75" customHeight="1">
      <c r="E795" s="5"/>
      <c r="H795" s="4"/>
    </row>
    <row r="796" spans="5:8" ht="15.75" customHeight="1">
      <c r="E796" s="5"/>
      <c r="H796" s="4"/>
    </row>
    <row r="797" spans="5:8" ht="15.75" customHeight="1">
      <c r="E797" s="5"/>
      <c r="H797" s="4"/>
    </row>
    <row r="798" spans="5:8" ht="15.75" customHeight="1">
      <c r="E798" s="5"/>
      <c r="H798" s="4"/>
    </row>
    <row r="799" spans="5:8" ht="15.75" customHeight="1">
      <c r="E799" s="5"/>
      <c r="H799" s="4"/>
    </row>
    <row r="800" spans="5:8" ht="15.75" customHeight="1">
      <c r="E800" s="5"/>
      <c r="H800" s="4"/>
    </row>
    <row r="801" spans="5:8" ht="15.75" customHeight="1">
      <c r="E801" s="5"/>
      <c r="H801" s="4"/>
    </row>
    <row r="802" spans="5:8" ht="15.75" customHeight="1">
      <c r="E802" s="5"/>
      <c r="H802" s="4"/>
    </row>
    <row r="803" spans="5:8" ht="15.75" customHeight="1">
      <c r="E803" s="5"/>
      <c r="H803" s="4"/>
    </row>
    <row r="804" spans="5:8" ht="15.75" customHeight="1">
      <c r="E804" s="5"/>
      <c r="H804" s="4"/>
    </row>
    <row r="805" spans="5:8" ht="15.75" customHeight="1">
      <c r="E805" s="5"/>
      <c r="H805" s="4"/>
    </row>
    <row r="806" spans="5:8" ht="15.75" customHeight="1">
      <c r="E806" s="5"/>
      <c r="H806" s="4"/>
    </row>
    <row r="807" spans="5:8" ht="15.75" customHeight="1">
      <c r="E807" s="5"/>
      <c r="H807" s="4"/>
    </row>
    <row r="808" spans="5:8" ht="15.75" customHeight="1">
      <c r="E808" s="5"/>
      <c r="H808" s="4"/>
    </row>
    <row r="809" spans="5:8" ht="15.75" customHeight="1">
      <c r="E809" s="5"/>
      <c r="H809" s="4"/>
    </row>
    <row r="810" spans="5:8" ht="15.75" customHeight="1">
      <c r="E810" s="5"/>
      <c r="H810" s="4"/>
    </row>
    <row r="811" spans="5:8" ht="15.75" customHeight="1">
      <c r="E811" s="5"/>
      <c r="H811" s="4"/>
    </row>
    <row r="812" spans="5:8" ht="15.75" customHeight="1">
      <c r="E812" s="5"/>
      <c r="H812" s="4"/>
    </row>
    <row r="813" spans="5:8" ht="15.75" customHeight="1">
      <c r="E813" s="5"/>
      <c r="H813" s="4"/>
    </row>
    <row r="814" spans="5:8" ht="15.75" customHeight="1">
      <c r="E814" s="5"/>
      <c r="H814" s="4"/>
    </row>
    <row r="815" spans="5:8" ht="15.75" customHeight="1">
      <c r="E815" s="5"/>
      <c r="H815" s="4"/>
    </row>
    <row r="816" spans="5:8" ht="15.75" customHeight="1">
      <c r="E816" s="5"/>
      <c r="H816" s="4"/>
    </row>
    <row r="817" spans="5:8" ht="15.75" customHeight="1">
      <c r="E817" s="5"/>
      <c r="H817" s="4"/>
    </row>
    <row r="818" spans="5:8" ht="15.75" customHeight="1">
      <c r="E818" s="5"/>
      <c r="H818" s="4"/>
    </row>
    <row r="819" spans="5:8" ht="15.75" customHeight="1">
      <c r="E819" s="5"/>
      <c r="H819" s="4"/>
    </row>
    <row r="820" spans="5:8" ht="15.75" customHeight="1">
      <c r="E820" s="5"/>
      <c r="H820" s="4"/>
    </row>
    <row r="821" spans="5:8" ht="15.75" customHeight="1">
      <c r="E821" s="5"/>
      <c r="H821" s="4"/>
    </row>
    <row r="822" spans="5:8" ht="15.75" customHeight="1">
      <c r="E822" s="5"/>
      <c r="H822" s="4"/>
    </row>
    <row r="823" spans="5:8" ht="15.75" customHeight="1">
      <c r="E823" s="5"/>
      <c r="H823" s="4"/>
    </row>
    <row r="824" spans="5:8" ht="15.75" customHeight="1">
      <c r="E824" s="5"/>
      <c r="H824" s="4"/>
    </row>
    <row r="825" spans="5:8" ht="15.75" customHeight="1">
      <c r="E825" s="5"/>
      <c r="H825" s="4"/>
    </row>
    <row r="826" spans="5:8" ht="15.75" customHeight="1">
      <c r="E826" s="5"/>
      <c r="H826" s="4"/>
    </row>
    <row r="827" spans="5:8" ht="15.75" customHeight="1">
      <c r="E827" s="5"/>
      <c r="H827" s="4"/>
    </row>
    <row r="828" spans="5:8" ht="15.75" customHeight="1">
      <c r="E828" s="5"/>
      <c r="H828" s="4"/>
    </row>
    <row r="829" spans="5:8" ht="15.75" customHeight="1">
      <c r="E829" s="5"/>
      <c r="H829" s="4"/>
    </row>
    <row r="830" spans="5:8" ht="15.75" customHeight="1">
      <c r="E830" s="5"/>
      <c r="H830" s="4"/>
    </row>
    <row r="831" spans="5:8" ht="15.75" customHeight="1">
      <c r="E831" s="5"/>
      <c r="H831" s="4"/>
    </row>
    <row r="832" spans="5:8" ht="15.75" customHeight="1">
      <c r="E832" s="5"/>
      <c r="H832" s="4"/>
    </row>
    <row r="833" spans="5:8" ht="15.75" customHeight="1">
      <c r="E833" s="5"/>
      <c r="H833" s="4"/>
    </row>
    <row r="834" spans="5:8" ht="15.75" customHeight="1">
      <c r="E834" s="5"/>
      <c r="H834" s="4"/>
    </row>
    <row r="835" spans="5:8" ht="15.75" customHeight="1">
      <c r="E835" s="5"/>
      <c r="H835" s="4"/>
    </row>
    <row r="836" spans="5:8" ht="15.75" customHeight="1">
      <c r="E836" s="5"/>
      <c r="H836" s="4"/>
    </row>
    <row r="837" spans="5:8" ht="15.75" customHeight="1">
      <c r="E837" s="5"/>
      <c r="H837" s="4"/>
    </row>
    <row r="838" spans="5:8" ht="15.75" customHeight="1">
      <c r="E838" s="5"/>
      <c r="H838" s="4"/>
    </row>
    <row r="839" spans="5:8" ht="15.75" customHeight="1">
      <c r="E839" s="5"/>
      <c r="H839" s="4"/>
    </row>
    <row r="840" spans="5:8" ht="15.75" customHeight="1">
      <c r="E840" s="5"/>
      <c r="H840" s="4"/>
    </row>
    <row r="841" spans="5:8" ht="15.75" customHeight="1">
      <c r="E841" s="5"/>
      <c r="H841" s="4"/>
    </row>
    <row r="842" spans="5:8" ht="15.75" customHeight="1">
      <c r="E842" s="5"/>
      <c r="H842" s="4"/>
    </row>
    <row r="843" spans="5:8" ht="15.75" customHeight="1">
      <c r="E843" s="5"/>
      <c r="H843" s="4"/>
    </row>
    <row r="844" spans="5:8" ht="15.75" customHeight="1">
      <c r="E844" s="5"/>
      <c r="H844" s="4"/>
    </row>
    <row r="845" spans="5:8" ht="15.75" customHeight="1">
      <c r="E845" s="5"/>
      <c r="H845" s="4"/>
    </row>
    <row r="846" spans="5:8" ht="15.75" customHeight="1">
      <c r="E846" s="5"/>
      <c r="H846" s="4"/>
    </row>
    <row r="847" spans="5:8" ht="15.75" customHeight="1">
      <c r="E847" s="5"/>
      <c r="H847" s="4"/>
    </row>
    <row r="848" spans="5:8" ht="15.75" customHeight="1">
      <c r="E848" s="5"/>
      <c r="H848" s="4"/>
    </row>
    <row r="849" spans="5:8" ht="15.75" customHeight="1">
      <c r="E849" s="5"/>
      <c r="H849" s="4"/>
    </row>
    <row r="850" spans="5:8" ht="15.75" customHeight="1">
      <c r="E850" s="5"/>
      <c r="H850" s="4"/>
    </row>
    <row r="851" spans="5:8" ht="15.75" customHeight="1">
      <c r="E851" s="5"/>
      <c r="H851" s="4"/>
    </row>
    <row r="852" spans="5:8" ht="15.75" customHeight="1">
      <c r="E852" s="5"/>
      <c r="H852" s="4"/>
    </row>
    <row r="853" spans="5:8" ht="15.75" customHeight="1">
      <c r="E853" s="5"/>
      <c r="H853" s="4"/>
    </row>
    <row r="854" spans="5:8" ht="15.75" customHeight="1">
      <c r="E854" s="5"/>
      <c r="H854" s="4"/>
    </row>
    <row r="855" spans="5:8" ht="15.75" customHeight="1">
      <c r="E855" s="5"/>
      <c r="H855" s="4"/>
    </row>
    <row r="856" spans="5:8" ht="15.75" customHeight="1">
      <c r="E856" s="5"/>
      <c r="H856" s="4"/>
    </row>
    <row r="857" spans="5:8" ht="15.75" customHeight="1">
      <c r="E857" s="5"/>
      <c r="H857" s="4"/>
    </row>
    <row r="858" spans="5:8" ht="15.75" customHeight="1">
      <c r="E858" s="5"/>
      <c r="H858" s="4"/>
    </row>
    <row r="859" spans="5:8" ht="15.75" customHeight="1">
      <c r="E859" s="5"/>
      <c r="H859" s="4"/>
    </row>
    <row r="860" spans="5:8" ht="15.75" customHeight="1">
      <c r="E860" s="5"/>
      <c r="H860" s="4"/>
    </row>
    <row r="861" spans="5:8" ht="15.75" customHeight="1">
      <c r="E861" s="5"/>
      <c r="H861" s="4"/>
    </row>
    <row r="862" spans="5:8" ht="15.75" customHeight="1">
      <c r="E862" s="5"/>
      <c r="H862" s="4"/>
    </row>
    <row r="863" spans="5:8" ht="15.75" customHeight="1">
      <c r="E863" s="5"/>
      <c r="H863" s="4"/>
    </row>
    <row r="864" spans="5:8" ht="15.75" customHeight="1">
      <c r="E864" s="5"/>
      <c r="H864" s="4"/>
    </row>
    <row r="865" spans="5:8" ht="15.75" customHeight="1">
      <c r="E865" s="5"/>
      <c r="H865" s="4"/>
    </row>
    <row r="866" spans="5:8" ht="15.75" customHeight="1">
      <c r="E866" s="5"/>
      <c r="H866" s="4"/>
    </row>
    <row r="867" spans="5:8" ht="15.75" customHeight="1">
      <c r="E867" s="5"/>
      <c r="H867" s="4"/>
    </row>
    <row r="868" spans="5:8" ht="15.75" customHeight="1">
      <c r="E868" s="5"/>
      <c r="H868" s="4"/>
    </row>
    <row r="869" spans="5:8" ht="15.75" customHeight="1">
      <c r="E869" s="5"/>
      <c r="H869" s="4"/>
    </row>
    <row r="870" spans="5:8" ht="15.75" customHeight="1">
      <c r="E870" s="5"/>
      <c r="H870" s="4"/>
    </row>
    <row r="871" spans="5:8" ht="15.75" customHeight="1">
      <c r="E871" s="5"/>
      <c r="H871" s="4"/>
    </row>
    <row r="872" spans="5:8" ht="15.75" customHeight="1">
      <c r="E872" s="5"/>
      <c r="H872" s="4"/>
    </row>
    <row r="873" spans="5:8" ht="15.75" customHeight="1">
      <c r="E873" s="5"/>
      <c r="H873" s="4"/>
    </row>
    <row r="874" spans="5:8" ht="15.75" customHeight="1">
      <c r="E874" s="5"/>
      <c r="H874" s="4"/>
    </row>
    <row r="875" spans="5:8" ht="15.75" customHeight="1">
      <c r="E875" s="5"/>
      <c r="H875" s="4"/>
    </row>
    <row r="876" spans="5:8" ht="15.75" customHeight="1">
      <c r="E876" s="5"/>
      <c r="H876" s="4"/>
    </row>
    <row r="877" spans="5:8" ht="15.75" customHeight="1">
      <c r="E877" s="5"/>
      <c r="H877" s="4"/>
    </row>
    <row r="878" spans="5:8" ht="15.75" customHeight="1">
      <c r="E878" s="5"/>
      <c r="H878" s="4"/>
    </row>
    <row r="879" spans="5:8" ht="15.75" customHeight="1">
      <c r="E879" s="5"/>
      <c r="H879" s="4"/>
    </row>
    <row r="880" spans="5:8" ht="15.75" customHeight="1">
      <c r="E880" s="5"/>
      <c r="H880" s="4"/>
    </row>
    <row r="881" spans="5:8" ht="15.75" customHeight="1">
      <c r="E881" s="5"/>
      <c r="H881" s="4"/>
    </row>
    <row r="882" spans="5:8" ht="15.75" customHeight="1">
      <c r="E882" s="5"/>
      <c r="H882" s="4"/>
    </row>
    <row r="883" spans="5:8" ht="15.75" customHeight="1">
      <c r="E883" s="5"/>
      <c r="H883" s="4"/>
    </row>
    <row r="884" spans="5:8" ht="15.75" customHeight="1">
      <c r="E884" s="5"/>
      <c r="H884" s="4"/>
    </row>
    <row r="885" spans="5:8" ht="15.75" customHeight="1">
      <c r="E885" s="5"/>
      <c r="H885" s="4"/>
    </row>
    <row r="886" spans="5:8" ht="15.75" customHeight="1">
      <c r="E886" s="5"/>
      <c r="H886" s="4"/>
    </row>
    <row r="887" spans="5:8" ht="15.75" customHeight="1">
      <c r="E887" s="5"/>
      <c r="H887" s="4"/>
    </row>
    <row r="888" spans="5:8" ht="15.75" customHeight="1">
      <c r="E888" s="5"/>
      <c r="H888" s="4"/>
    </row>
    <row r="889" spans="5:8" ht="15.75" customHeight="1">
      <c r="E889" s="5"/>
      <c r="H889" s="4"/>
    </row>
    <row r="890" spans="5:8" ht="15.75" customHeight="1">
      <c r="E890" s="5"/>
      <c r="H890" s="4"/>
    </row>
    <row r="891" spans="5:8" ht="15.75" customHeight="1">
      <c r="E891" s="5"/>
      <c r="H891" s="4"/>
    </row>
    <row r="892" spans="5:8" ht="15.75" customHeight="1">
      <c r="E892" s="5"/>
      <c r="H892" s="4"/>
    </row>
    <row r="893" spans="5:8" ht="15.75" customHeight="1">
      <c r="E893" s="5"/>
      <c r="H893" s="4"/>
    </row>
    <row r="894" spans="5:8" ht="15.75" customHeight="1">
      <c r="E894" s="5"/>
      <c r="H894" s="4"/>
    </row>
    <row r="895" spans="5:8" ht="15.75" customHeight="1">
      <c r="E895" s="5"/>
      <c r="H895" s="4"/>
    </row>
    <row r="896" spans="5:8" ht="15.75" customHeight="1">
      <c r="E896" s="5"/>
      <c r="H896" s="4"/>
    </row>
    <row r="897" spans="5:8" ht="15.75" customHeight="1">
      <c r="E897" s="5"/>
      <c r="H897" s="4"/>
    </row>
    <row r="898" spans="5:8" ht="15.75" customHeight="1">
      <c r="E898" s="5"/>
      <c r="H898" s="4"/>
    </row>
    <row r="899" spans="5:8" ht="15.75" customHeight="1">
      <c r="E899" s="5"/>
      <c r="H899" s="4"/>
    </row>
    <row r="900" spans="5:8" ht="15.75" customHeight="1">
      <c r="E900" s="5"/>
      <c r="H900" s="4"/>
    </row>
    <row r="901" spans="5:8" ht="15.75" customHeight="1">
      <c r="E901" s="5"/>
      <c r="H901" s="4"/>
    </row>
    <row r="902" spans="5:8" ht="15.75" customHeight="1">
      <c r="E902" s="5"/>
      <c r="H902" s="4"/>
    </row>
    <row r="903" spans="5:8" ht="15.75" customHeight="1">
      <c r="E903" s="5"/>
      <c r="H903" s="4"/>
    </row>
    <row r="904" spans="5:8" ht="15.75" customHeight="1">
      <c r="E904" s="5"/>
      <c r="H904" s="4"/>
    </row>
    <row r="905" spans="5:8" ht="15.75" customHeight="1">
      <c r="E905" s="5"/>
      <c r="H905" s="4"/>
    </row>
    <row r="906" spans="5:8" ht="15.75" customHeight="1">
      <c r="E906" s="5"/>
      <c r="H906" s="4"/>
    </row>
    <row r="907" spans="5:8" ht="15.75" customHeight="1">
      <c r="E907" s="5"/>
      <c r="H907" s="4"/>
    </row>
    <row r="908" spans="5:8" ht="15.75" customHeight="1">
      <c r="E908" s="5"/>
      <c r="H908" s="4"/>
    </row>
    <row r="909" spans="5:8" ht="15.75" customHeight="1">
      <c r="E909" s="5"/>
      <c r="H909" s="4"/>
    </row>
    <row r="910" spans="5:8" ht="15.75" customHeight="1">
      <c r="E910" s="5"/>
      <c r="H910" s="4"/>
    </row>
    <row r="911" spans="5:8" ht="15.75" customHeight="1">
      <c r="E911" s="5"/>
      <c r="H911" s="4"/>
    </row>
    <row r="912" spans="5:8" ht="15.75" customHeight="1">
      <c r="E912" s="5"/>
      <c r="H912" s="4"/>
    </row>
    <row r="913" spans="5:8" ht="15.75" customHeight="1">
      <c r="E913" s="5"/>
      <c r="H913" s="4"/>
    </row>
    <row r="914" spans="5:8" ht="15.75" customHeight="1">
      <c r="E914" s="5"/>
      <c r="H914" s="4"/>
    </row>
    <row r="915" spans="5:8" ht="15.75" customHeight="1">
      <c r="E915" s="5"/>
      <c r="H915" s="4"/>
    </row>
    <row r="916" spans="5:8" ht="15.75" customHeight="1">
      <c r="E916" s="5"/>
      <c r="H916" s="4"/>
    </row>
    <row r="917" spans="5:8" ht="15.75" customHeight="1">
      <c r="E917" s="5"/>
      <c r="H917" s="4"/>
    </row>
    <row r="918" spans="5:8" ht="15.75" customHeight="1">
      <c r="E918" s="5"/>
      <c r="H918" s="4"/>
    </row>
    <row r="919" spans="5:8" ht="15.75" customHeight="1">
      <c r="E919" s="5"/>
      <c r="H919" s="4"/>
    </row>
    <row r="920" spans="5:8" ht="15.75" customHeight="1">
      <c r="E920" s="5"/>
      <c r="H920" s="4"/>
    </row>
    <row r="921" spans="5:8" ht="15.75" customHeight="1">
      <c r="E921" s="5"/>
      <c r="H921" s="4"/>
    </row>
    <row r="922" spans="5:8" ht="15.75" customHeight="1">
      <c r="E922" s="5"/>
      <c r="H922" s="4"/>
    </row>
    <row r="923" spans="5:8" ht="15.75" customHeight="1">
      <c r="E923" s="5"/>
      <c r="H923" s="4"/>
    </row>
    <row r="924" spans="5:8" ht="15.75" customHeight="1">
      <c r="E924" s="5"/>
      <c r="H924" s="4"/>
    </row>
    <row r="925" spans="5:8" ht="15.75" customHeight="1">
      <c r="E925" s="5"/>
      <c r="H925" s="4"/>
    </row>
    <row r="926" spans="5:8" ht="15.75" customHeight="1">
      <c r="E926" s="5"/>
      <c r="H926" s="4"/>
    </row>
    <row r="927" spans="5:8" ht="15.75" customHeight="1">
      <c r="E927" s="5"/>
      <c r="H927" s="4"/>
    </row>
    <row r="928" spans="5:8" ht="15.75" customHeight="1">
      <c r="E928" s="5"/>
      <c r="H928" s="4"/>
    </row>
    <row r="929" spans="5:8" ht="15.75" customHeight="1">
      <c r="E929" s="5"/>
      <c r="H929" s="4"/>
    </row>
    <row r="930" spans="5:8" ht="15.75" customHeight="1">
      <c r="E930" s="5"/>
      <c r="H930" s="4"/>
    </row>
    <row r="931" spans="5:8" ht="15.75" customHeight="1">
      <c r="E931" s="5"/>
      <c r="H931" s="4"/>
    </row>
    <row r="932" spans="5:8" ht="15.75" customHeight="1">
      <c r="E932" s="5"/>
      <c r="H932" s="4"/>
    </row>
    <row r="933" spans="5:8" ht="15.75" customHeight="1">
      <c r="E933" s="5"/>
      <c r="H933" s="4"/>
    </row>
    <row r="934" spans="5:8" ht="15.75" customHeight="1">
      <c r="E934" s="5"/>
      <c r="H934" s="4"/>
    </row>
    <row r="935" spans="5:8" ht="15.75" customHeight="1">
      <c r="E935" s="5"/>
      <c r="H935" s="4"/>
    </row>
    <row r="936" spans="5:8" ht="15.75" customHeight="1">
      <c r="E936" s="5"/>
      <c r="H936" s="4"/>
    </row>
    <row r="937" spans="5:8" ht="15.75" customHeight="1">
      <c r="E937" s="5"/>
      <c r="H937" s="4"/>
    </row>
    <row r="938" spans="5:8" ht="15.75" customHeight="1">
      <c r="E938" s="5"/>
      <c r="H938" s="4"/>
    </row>
    <row r="939" spans="5:8" ht="15.75" customHeight="1">
      <c r="E939" s="5"/>
      <c r="H939" s="4"/>
    </row>
    <row r="940" spans="5:8" ht="15.75" customHeight="1">
      <c r="E940" s="5"/>
      <c r="H940" s="4"/>
    </row>
    <row r="941" spans="5:8" ht="15.75" customHeight="1">
      <c r="E941" s="5"/>
      <c r="H941" s="4"/>
    </row>
    <row r="942" spans="5:8" ht="15.75" customHeight="1">
      <c r="E942" s="5"/>
      <c r="H942" s="4"/>
    </row>
    <row r="943" spans="5:8" ht="15.75" customHeight="1">
      <c r="E943" s="5"/>
      <c r="H943" s="4"/>
    </row>
    <row r="944" spans="5:8" ht="15.75" customHeight="1">
      <c r="E944" s="5"/>
      <c r="H944" s="4"/>
    </row>
    <row r="945" spans="5:8" ht="15.75" customHeight="1">
      <c r="E945" s="5"/>
      <c r="H945" s="4"/>
    </row>
    <row r="946" spans="5:8" ht="15.75" customHeight="1">
      <c r="E946" s="5"/>
      <c r="H946" s="4"/>
    </row>
    <row r="947" spans="5:8" ht="15.75" customHeight="1">
      <c r="E947" s="5"/>
      <c r="H947" s="4"/>
    </row>
    <row r="948" spans="5:8" ht="15.75" customHeight="1">
      <c r="E948" s="5"/>
      <c r="H948" s="4"/>
    </row>
    <row r="949" spans="5:8" ht="15.75" customHeight="1">
      <c r="E949" s="5"/>
      <c r="H949" s="4"/>
    </row>
    <row r="950" spans="5:8" ht="15.75" customHeight="1">
      <c r="E950" s="5"/>
      <c r="H950" s="4"/>
    </row>
    <row r="951" spans="5:8" ht="15.75" customHeight="1">
      <c r="E951" s="5"/>
      <c r="H951" s="4"/>
    </row>
    <row r="952" spans="5:8" ht="15.75" customHeight="1">
      <c r="E952" s="5"/>
      <c r="H952" s="4"/>
    </row>
    <row r="953" spans="5:8" ht="15.75" customHeight="1">
      <c r="E953" s="5"/>
      <c r="H953" s="4"/>
    </row>
    <row r="954" spans="5:8" ht="15.75" customHeight="1">
      <c r="E954" s="5"/>
      <c r="H954" s="4"/>
    </row>
    <row r="955" spans="5:8" ht="15.75" customHeight="1">
      <c r="E955" s="5"/>
      <c r="H955" s="4"/>
    </row>
    <row r="956" spans="5:8" ht="15.75" customHeight="1">
      <c r="E956" s="5"/>
      <c r="H956" s="4"/>
    </row>
    <row r="957" spans="5:8" ht="15.75" customHeight="1">
      <c r="E957" s="5"/>
      <c r="H957" s="4"/>
    </row>
    <row r="958" spans="5:8" ht="15.75" customHeight="1">
      <c r="E958" s="5"/>
      <c r="H958" s="4"/>
    </row>
    <row r="959" spans="5:8" ht="15.75" customHeight="1">
      <c r="E959" s="5"/>
      <c r="H959" s="4"/>
    </row>
    <row r="960" spans="5:8" ht="15.75" customHeight="1">
      <c r="E960" s="5"/>
      <c r="H960" s="4"/>
    </row>
    <row r="961" spans="5:8" ht="15.75" customHeight="1">
      <c r="E961" s="5"/>
      <c r="H961" s="4"/>
    </row>
    <row r="962" spans="5:8" ht="15.75" customHeight="1">
      <c r="E962" s="5"/>
      <c r="H962" s="4"/>
    </row>
    <row r="963" spans="5:8" ht="15.75" customHeight="1">
      <c r="E963" s="5"/>
      <c r="H963" s="4"/>
    </row>
    <row r="964" spans="5:8" ht="15.75" customHeight="1">
      <c r="E964" s="5"/>
      <c r="H964" s="4"/>
    </row>
    <row r="965" spans="5:8" ht="15.75" customHeight="1">
      <c r="E965" s="5"/>
      <c r="H965" s="4"/>
    </row>
    <row r="966" spans="5:8" ht="15.75" customHeight="1">
      <c r="E966" s="5"/>
      <c r="H966" s="4"/>
    </row>
    <row r="967" spans="5:8" ht="15.75" customHeight="1">
      <c r="E967" s="5"/>
      <c r="H967" s="4"/>
    </row>
    <row r="968" spans="5:8" ht="15.75" customHeight="1">
      <c r="E968" s="5"/>
      <c r="H968" s="4"/>
    </row>
    <row r="969" spans="5:8" ht="15.75" customHeight="1">
      <c r="E969" s="5"/>
      <c r="H969" s="4"/>
    </row>
    <row r="970" spans="5:8" ht="15.75" customHeight="1">
      <c r="E970" s="5"/>
      <c r="H970" s="4"/>
    </row>
    <row r="971" spans="5:8" ht="15.75" customHeight="1">
      <c r="E971" s="5"/>
      <c r="H971" s="4"/>
    </row>
    <row r="972" spans="5:8" ht="15.75" customHeight="1">
      <c r="E972" s="5"/>
      <c r="H972" s="4"/>
    </row>
    <row r="973" spans="5:8" ht="15.75" customHeight="1">
      <c r="E973" s="5"/>
      <c r="H973" s="4"/>
    </row>
    <row r="974" spans="5:8" ht="15.75" customHeight="1">
      <c r="E974" s="5"/>
      <c r="H974" s="4"/>
    </row>
    <row r="975" spans="5:8" ht="15.75" customHeight="1">
      <c r="E975" s="5"/>
      <c r="H975" s="4"/>
    </row>
    <row r="976" spans="5:8" ht="15.75" customHeight="1">
      <c r="E976" s="5"/>
      <c r="H976" s="4"/>
    </row>
    <row r="977" spans="5:8" ht="15.75" customHeight="1">
      <c r="E977" s="5"/>
      <c r="H977" s="4"/>
    </row>
    <row r="978" spans="5:8" ht="15.75" customHeight="1">
      <c r="E978" s="5"/>
      <c r="H978" s="4"/>
    </row>
    <row r="979" spans="5:8" ht="15.75" customHeight="1">
      <c r="E979" s="5"/>
      <c r="H979" s="4"/>
    </row>
    <row r="980" spans="5:8" ht="15.75" customHeight="1">
      <c r="E980" s="5"/>
      <c r="H980" s="4"/>
    </row>
    <row r="981" spans="5:8" ht="15.75" customHeight="1">
      <c r="E981" s="5"/>
      <c r="H981" s="4"/>
    </row>
    <row r="982" spans="5:8" ht="15.75" customHeight="1">
      <c r="E982" s="5"/>
      <c r="H982" s="4"/>
    </row>
    <row r="983" spans="5:8" ht="15.75" customHeight="1">
      <c r="E983" s="5"/>
      <c r="H983" s="4"/>
    </row>
    <row r="984" spans="5:8" ht="15.75" customHeight="1">
      <c r="E984" s="5"/>
      <c r="H984" s="4"/>
    </row>
    <row r="985" spans="5:8" ht="15.75" customHeight="1">
      <c r="E985" s="5"/>
      <c r="H985" s="4"/>
    </row>
    <row r="986" spans="5:8" ht="15.75" customHeight="1">
      <c r="E986" s="5"/>
      <c r="H986" s="4"/>
    </row>
    <row r="987" spans="5:8" ht="15.75" customHeight="1">
      <c r="E987" s="5"/>
      <c r="H987" s="4"/>
    </row>
    <row r="988" spans="5:8" ht="15.75" customHeight="1">
      <c r="E988" s="5"/>
      <c r="H988" s="4"/>
    </row>
    <row r="989" spans="5:8" ht="15.75" customHeight="1">
      <c r="E989" s="5"/>
      <c r="H989" s="4"/>
    </row>
    <row r="990" spans="5:8" ht="15.75" customHeight="1">
      <c r="E990" s="5"/>
      <c r="H990" s="4"/>
    </row>
    <row r="991" spans="5:8" ht="15.75" customHeight="1">
      <c r="E991" s="5"/>
      <c r="H991" s="4"/>
    </row>
    <row r="992" spans="5:8" ht="15.75" customHeight="1">
      <c r="E992" s="5"/>
      <c r="H992" s="4"/>
    </row>
    <row r="993" spans="5:8" ht="15.75" customHeight="1">
      <c r="E993" s="5"/>
      <c r="H993" s="4"/>
    </row>
    <row r="994" spans="5:8" ht="15.75" customHeight="1">
      <c r="E994" s="5"/>
      <c r="H994" s="4"/>
    </row>
    <row r="995" spans="5:8" ht="15.75" customHeight="1">
      <c r="E995" s="5"/>
      <c r="H995" s="4"/>
    </row>
    <row r="996" spans="5:8" ht="15.75" customHeight="1">
      <c r="E996" s="5"/>
      <c r="H996" s="4"/>
    </row>
    <row r="997" spans="5:8" ht="15.75" customHeight="1">
      <c r="E997" s="5"/>
      <c r="H997" s="4"/>
    </row>
    <row r="998" spans="5:8" ht="15.75" customHeight="1">
      <c r="E998" s="5"/>
      <c r="H998" s="4"/>
    </row>
    <row r="999" spans="5:8" ht="15.75" customHeight="1">
      <c r="E999" s="5"/>
      <c r="H999" s="4"/>
    </row>
  </sheetData>
  <mergeCells count="5">
    <mergeCell ref="A1:D1"/>
    <mergeCell ref="C2:G6"/>
    <mergeCell ref="A7:D7"/>
    <mergeCell ref="R22:R25"/>
    <mergeCell ref="R27:R31"/>
  </mergeCells>
  <conditionalFormatting sqref="H1:H44 H50:H999">
    <cfRule type="notContainsBlanks" dxfId="2" priority="3">
      <formula>LEN(TRIM(H1))&gt;0</formula>
    </cfRule>
  </conditionalFormatting>
  <conditionalFormatting sqref="H46">
    <cfRule type="notContainsBlanks" dxfId="1" priority="2">
      <formula>LEN(TRIM(H46))&gt;0</formula>
    </cfRule>
  </conditionalFormatting>
  <conditionalFormatting sqref="H48">
    <cfRule type="notContainsBlanks" dxfId="0" priority="1">
      <formula>LEN(TRIM(H48))&gt;0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0"/>
  <sheetViews>
    <sheetView topLeftCell="F1" workbookViewId="0">
      <selection activeCell="G22" sqref="G22"/>
    </sheetView>
  </sheetViews>
  <sheetFormatPr defaultColWidth="14.44140625" defaultRowHeight="15" customHeight="1"/>
  <cols>
    <col min="1" max="1" width="12.77734375" customWidth="1"/>
    <col min="2" max="2" width="36.21875" customWidth="1"/>
    <col min="3" max="3" width="8.77734375" customWidth="1"/>
    <col min="4" max="4" width="6.109375" customWidth="1"/>
    <col min="5" max="5" width="45.5546875" customWidth="1"/>
    <col min="6" max="6" width="4" customWidth="1"/>
    <col min="7" max="7" width="28.44140625" customWidth="1"/>
    <col min="8" max="8" width="6.77734375" customWidth="1"/>
    <col min="9" max="9" width="34" customWidth="1"/>
    <col min="10" max="11" width="8.77734375" customWidth="1"/>
  </cols>
  <sheetData>
    <row r="1" spans="2:11" ht="14.4">
      <c r="D1" s="95" t="s">
        <v>93</v>
      </c>
      <c r="E1" s="84"/>
      <c r="H1" s="95" t="s">
        <v>94</v>
      </c>
      <c r="I1" s="84"/>
      <c r="J1" s="5"/>
    </row>
    <row r="2" spans="2:11" ht="14.4">
      <c r="D2" s="2" t="s">
        <v>95</v>
      </c>
      <c r="E2" s="44" t="s">
        <v>96</v>
      </c>
      <c r="H2" s="2" t="s">
        <v>95</v>
      </c>
      <c r="I2" s="44" t="s">
        <v>97</v>
      </c>
      <c r="J2" s="5"/>
      <c r="K2" s="96"/>
    </row>
    <row r="3" spans="2:11" ht="14.4">
      <c r="B3" s="30"/>
      <c r="D3" s="2">
        <v>0</v>
      </c>
      <c r="E3" s="44" t="s">
        <v>98</v>
      </c>
      <c r="H3" s="2">
        <v>0</v>
      </c>
      <c r="I3" s="44" t="s">
        <v>99</v>
      </c>
      <c r="J3" s="5"/>
      <c r="K3" s="89"/>
    </row>
    <row r="4" spans="2:11" ht="14.4">
      <c r="D4" s="2">
        <v>1</v>
      </c>
      <c r="E4" s="44" t="s">
        <v>100</v>
      </c>
      <c r="G4" s="30" t="s">
        <v>101</v>
      </c>
      <c r="H4" s="2">
        <v>1</v>
      </c>
      <c r="I4" s="44" t="s">
        <v>102</v>
      </c>
      <c r="J4" s="5"/>
      <c r="K4" s="89"/>
    </row>
    <row r="5" spans="2:11" ht="14.4">
      <c r="D5" s="2">
        <v>2</v>
      </c>
      <c r="E5" s="44" t="s">
        <v>103</v>
      </c>
      <c r="H5" s="2">
        <v>2</v>
      </c>
      <c r="I5" s="44" t="s">
        <v>104</v>
      </c>
      <c r="J5" s="5"/>
      <c r="K5" s="89"/>
    </row>
    <row r="6" spans="2:11" ht="14.4">
      <c r="D6" s="2">
        <v>3</v>
      </c>
      <c r="E6" s="44" t="s">
        <v>105</v>
      </c>
      <c r="H6" s="2">
        <v>3</v>
      </c>
      <c r="I6" s="44" t="s">
        <v>106</v>
      </c>
      <c r="J6" s="5"/>
      <c r="K6" s="89"/>
    </row>
    <row r="7" spans="2:11" ht="14.4">
      <c r="D7" s="2">
        <v>4</v>
      </c>
      <c r="E7" s="44" t="s">
        <v>107</v>
      </c>
      <c r="H7" s="2">
        <v>4</v>
      </c>
      <c r="I7" s="50" t="s">
        <v>108</v>
      </c>
      <c r="J7" s="5"/>
      <c r="K7" s="89"/>
    </row>
    <row r="8" spans="2:11" ht="14.4">
      <c r="D8" s="2">
        <v>5</v>
      </c>
      <c r="E8" s="44" t="s">
        <v>109</v>
      </c>
      <c r="H8" s="2">
        <v>5</v>
      </c>
      <c r="I8" s="50" t="s">
        <v>110</v>
      </c>
      <c r="J8" s="5"/>
      <c r="K8" s="89"/>
    </row>
    <row r="9" spans="2:11" ht="14.4">
      <c r="D9" s="2">
        <v>6</v>
      </c>
      <c r="E9" s="44" t="s">
        <v>111</v>
      </c>
      <c r="H9" s="2">
        <v>6</v>
      </c>
      <c r="I9" s="44" t="s">
        <v>112</v>
      </c>
      <c r="J9" s="5"/>
      <c r="K9" s="89"/>
    </row>
    <row r="10" spans="2:11" ht="14.4">
      <c r="D10" s="2">
        <v>7</v>
      </c>
      <c r="E10" s="44" t="s">
        <v>113</v>
      </c>
      <c r="H10" s="2">
        <v>7</v>
      </c>
      <c r="I10" s="44" t="s">
        <v>114</v>
      </c>
      <c r="J10" s="5"/>
      <c r="K10" s="89"/>
    </row>
    <row r="11" spans="2:11" ht="14.4">
      <c r="D11" s="2">
        <v>8</v>
      </c>
      <c r="E11" s="44" t="s">
        <v>115</v>
      </c>
      <c r="H11" s="2">
        <v>8</v>
      </c>
      <c r="I11" s="44" t="s">
        <v>116</v>
      </c>
      <c r="J11" s="5"/>
      <c r="K11" s="96"/>
    </row>
    <row r="12" spans="2:11" ht="14.4">
      <c r="D12" s="2">
        <v>9</v>
      </c>
      <c r="E12" s="44" t="s">
        <v>117</v>
      </c>
      <c r="H12" s="2">
        <v>9</v>
      </c>
      <c r="I12" s="51" t="s">
        <v>118</v>
      </c>
      <c r="J12" s="5"/>
      <c r="K12" s="89"/>
    </row>
    <row r="13" spans="2:11" ht="14.4">
      <c r="B13" s="30" t="s">
        <v>119</v>
      </c>
      <c r="D13" s="2">
        <v>10</v>
      </c>
      <c r="E13" s="44" t="s">
        <v>120</v>
      </c>
      <c r="H13" s="2">
        <v>10</v>
      </c>
      <c r="I13" s="51" t="s">
        <v>121</v>
      </c>
      <c r="J13" s="5"/>
      <c r="K13" s="89"/>
    </row>
    <row r="14" spans="2:11" ht="14.4">
      <c r="D14" s="2">
        <v>11</v>
      </c>
      <c r="E14" s="44" t="s">
        <v>122</v>
      </c>
      <c r="H14" s="2">
        <v>11</v>
      </c>
      <c r="I14" s="51" t="s">
        <v>123</v>
      </c>
      <c r="J14" s="5"/>
      <c r="K14" s="89"/>
    </row>
    <row r="15" spans="2:11" ht="14.4">
      <c r="D15" s="2">
        <v>12</v>
      </c>
      <c r="E15" s="44" t="s">
        <v>124</v>
      </c>
      <c r="H15" s="2">
        <v>12</v>
      </c>
      <c r="I15" s="51" t="s">
        <v>125</v>
      </c>
      <c r="J15" s="5"/>
      <c r="K15" s="89"/>
    </row>
    <row r="16" spans="2:11" ht="14.4">
      <c r="D16" s="2">
        <v>13</v>
      </c>
      <c r="E16" s="44" t="s">
        <v>126</v>
      </c>
      <c r="H16" s="2">
        <v>13</v>
      </c>
      <c r="I16" s="51" t="s">
        <v>127</v>
      </c>
      <c r="J16" s="5"/>
      <c r="K16" s="89"/>
    </row>
    <row r="17" spans="1:11" ht="14.4">
      <c r="D17" s="2">
        <v>14</v>
      </c>
      <c r="E17" s="44" t="s">
        <v>128</v>
      </c>
      <c r="H17" s="2">
        <v>14</v>
      </c>
      <c r="I17" s="51" t="s">
        <v>129</v>
      </c>
      <c r="J17" s="5"/>
      <c r="K17" s="89"/>
    </row>
    <row r="18" spans="1:11" ht="14.4">
      <c r="D18" s="2">
        <v>15</v>
      </c>
      <c r="E18" s="51" t="s">
        <v>130</v>
      </c>
      <c r="H18" s="2">
        <v>15</v>
      </c>
      <c r="I18" s="44" t="s">
        <v>131</v>
      </c>
      <c r="J18" s="5"/>
      <c r="K18" s="89"/>
    </row>
    <row r="19" spans="1:11" ht="14.4">
      <c r="D19" s="4"/>
      <c r="H19" s="4"/>
      <c r="J19" s="5"/>
    </row>
    <row r="20" spans="1:11" ht="14.4">
      <c r="D20" s="4"/>
      <c r="H20" s="4"/>
      <c r="J20" s="5"/>
    </row>
    <row r="21" spans="1:11" ht="15.75" customHeight="1">
      <c r="D21" s="4"/>
      <c r="H21" s="4"/>
      <c r="J21" s="5"/>
      <c r="K21" s="36"/>
    </row>
    <row r="22" spans="1:11" ht="15.75" customHeight="1">
      <c r="D22" s="4"/>
      <c r="H22" s="4"/>
      <c r="J22" s="5"/>
    </row>
    <row r="23" spans="1:11" ht="15.75" customHeight="1">
      <c r="D23" s="4"/>
      <c r="H23" s="4"/>
      <c r="J23" s="5"/>
    </row>
    <row r="24" spans="1:11" ht="15.75" customHeight="1">
      <c r="A24" s="4"/>
      <c r="B24" s="4"/>
      <c r="C24" s="4"/>
      <c r="D24" s="4"/>
      <c r="E24" s="4"/>
      <c r="H24" s="4"/>
      <c r="J24" s="5"/>
    </row>
    <row r="25" spans="1:11" ht="15.75" customHeight="1">
      <c r="A25" s="4"/>
      <c r="B25" s="4"/>
      <c r="C25" s="4"/>
      <c r="D25" s="4"/>
      <c r="E25" s="4"/>
      <c r="H25" s="4"/>
      <c r="J25" s="5"/>
    </row>
    <row r="26" spans="1:11" ht="15.75" customHeight="1">
      <c r="D26" s="4"/>
      <c r="H26" s="4"/>
      <c r="J26" s="5"/>
    </row>
    <row r="27" spans="1:11" ht="15.75" customHeight="1">
      <c r="D27" s="4"/>
      <c r="H27" s="4"/>
      <c r="J27" s="5"/>
    </row>
    <row r="28" spans="1:11" ht="15.75" customHeight="1">
      <c r="D28" s="4"/>
      <c r="E28" s="7"/>
      <c r="G28" s="7"/>
      <c r="H28" s="4"/>
      <c r="J28" s="5"/>
    </row>
    <row r="29" spans="1:11" ht="15.75" customHeight="1">
      <c r="D29" s="4"/>
      <c r="E29" s="7"/>
      <c r="G29" s="7"/>
      <c r="H29" s="4"/>
      <c r="J29" s="5"/>
    </row>
    <row r="30" spans="1:11" ht="15.75" customHeight="1">
      <c r="D30" s="4"/>
      <c r="E30" s="7"/>
      <c r="G30" s="7"/>
      <c r="H30" s="4"/>
      <c r="J30" s="5"/>
    </row>
    <row r="31" spans="1:11" ht="15.75" customHeight="1">
      <c r="D31" s="4"/>
      <c r="E31" s="7"/>
      <c r="G31" s="13"/>
      <c r="H31" s="4"/>
      <c r="J31" s="5"/>
    </row>
    <row r="32" spans="1:11" ht="15.75" customHeight="1">
      <c r="D32" s="4"/>
      <c r="E32" s="7"/>
      <c r="H32" s="4"/>
      <c r="J32" s="5"/>
    </row>
    <row r="33" spans="4:10" ht="15.75" customHeight="1">
      <c r="D33" s="4"/>
      <c r="E33" s="7"/>
      <c r="H33" s="4"/>
      <c r="J33" s="5"/>
    </row>
    <row r="34" spans="4:10" ht="15.75" customHeight="1">
      <c r="D34" s="4"/>
      <c r="E34" s="7"/>
      <c r="H34" s="4"/>
      <c r="J34" s="5"/>
    </row>
    <row r="35" spans="4:10" ht="15.75" customHeight="1">
      <c r="D35" s="4"/>
      <c r="E35" s="7"/>
      <c r="H35" s="4"/>
      <c r="J35" s="5"/>
    </row>
    <row r="36" spans="4:10" ht="15.75" customHeight="1">
      <c r="D36" s="4"/>
      <c r="E36" s="7"/>
      <c r="H36" s="4"/>
      <c r="J36" s="5"/>
    </row>
    <row r="37" spans="4:10" ht="15.75" customHeight="1">
      <c r="D37" s="4"/>
      <c r="E37" s="7"/>
      <c r="H37" s="4"/>
      <c r="J37" s="5"/>
    </row>
    <row r="38" spans="4:10" ht="15.75" customHeight="1">
      <c r="D38" s="4"/>
      <c r="E38" s="7"/>
      <c r="H38" s="4"/>
      <c r="J38" s="5"/>
    </row>
    <row r="39" spans="4:10" ht="15.75" customHeight="1">
      <c r="D39" s="4"/>
      <c r="E39" s="7"/>
      <c r="H39" s="4"/>
      <c r="J39" s="5"/>
    </row>
    <row r="40" spans="4:10" ht="15.75" customHeight="1">
      <c r="D40" s="4"/>
      <c r="E40" s="13"/>
      <c r="H40" s="4"/>
      <c r="J40" s="5"/>
    </row>
    <row r="41" spans="4:10" ht="15.75" customHeight="1">
      <c r="D41" s="4"/>
      <c r="H41" s="4"/>
      <c r="J41" s="5"/>
    </row>
    <row r="42" spans="4:10" ht="15.75" customHeight="1">
      <c r="D42" s="4"/>
      <c r="H42" s="4"/>
      <c r="J42" s="5"/>
    </row>
    <row r="43" spans="4:10" ht="15.75" customHeight="1">
      <c r="D43" s="4"/>
      <c r="H43" s="4"/>
      <c r="J43" s="5"/>
    </row>
    <row r="44" spans="4:10" ht="15.75" customHeight="1">
      <c r="D44" s="4"/>
      <c r="H44" s="4"/>
      <c r="J44" s="5"/>
    </row>
    <row r="45" spans="4:10" ht="15.75" customHeight="1">
      <c r="D45" s="4"/>
      <c r="H45" s="4"/>
      <c r="J45" s="5"/>
    </row>
    <row r="46" spans="4:10" ht="15.75" customHeight="1">
      <c r="D46" s="4"/>
      <c r="H46" s="4"/>
      <c r="J46" s="5"/>
    </row>
    <row r="47" spans="4:10" ht="15.75" customHeight="1">
      <c r="D47" s="4"/>
      <c r="H47" s="4"/>
      <c r="J47" s="5"/>
    </row>
    <row r="48" spans="4:10" ht="15.75" customHeight="1">
      <c r="D48" s="4"/>
      <c r="H48" s="4"/>
      <c r="J48" s="5"/>
    </row>
    <row r="49" spans="4:10" ht="15.75" customHeight="1">
      <c r="D49" s="4"/>
      <c r="H49" s="4"/>
      <c r="J49" s="5"/>
    </row>
    <row r="50" spans="4:10" ht="15.75" customHeight="1">
      <c r="D50" s="4"/>
      <c r="H50" s="4"/>
      <c r="J50" s="5"/>
    </row>
    <row r="51" spans="4:10" ht="15.75" customHeight="1">
      <c r="D51" s="4"/>
      <c r="H51" s="4"/>
      <c r="J51" s="5"/>
    </row>
    <row r="52" spans="4:10" ht="15.75" customHeight="1">
      <c r="D52" s="4"/>
      <c r="H52" s="4"/>
      <c r="J52" s="5"/>
    </row>
    <row r="53" spans="4:10" ht="15.75" customHeight="1">
      <c r="D53" s="4"/>
      <c r="H53" s="4"/>
      <c r="J53" s="5"/>
    </row>
    <row r="54" spans="4:10" ht="15.75" customHeight="1">
      <c r="D54" s="4"/>
      <c r="H54" s="4"/>
      <c r="J54" s="5"/>
    </row>
    <row r="55" spans="4:10" ht="15.75" customHeight="1">
      <c r="D55" s="4"/>
      <c r="H55" s="4"/>
      <c r="J55" s="5"/>
    </row>
    <row r="56" spans="4:10" ht="15.75" customHeight="1">
      <c r="D56" s="4"/>
      <c r="H56" s="4"/>
      <c r="J56" s="5"/>
    </row>
    <row r="57" spans="4:10" ht="15.75" customHeight="1">
      <c r="D57" s="4"/>
      <c r="H57" s="4"/>
      <c r="J57" s="5"/>
    </row>
    <row r="58" spans="4:10" ht="15.75" customHeight="1">
      <c r="D58" s="4"/>
      <c r="H58" s="4"/>
      <c r="J58" s="5"/>
    </row>
    <row r="59" spans="4:10" ht="15.75" customHeight="1">
      <c r="D59" s="4"/>
      <c r="H59" s="4"/>
      <c r="J59" s="5"/>
    </row>
    <row r="60" spans="4:10" ht="15.75" customHeight="1">
      <c r="D60" s="4"/>
      <c r="H60" s="4"/>
      <c r="J60" s="5"/>
    </row>
    <row r="61" spans="4:10" ht="15.75" customHeight="1">
      <c r="D61" s="4"/>
      <c r="H61" s="4"/>
      <c r="J61" s="5"/>
    </row>
    <row r="62" spans="4:10" ht="15.75" customHeight="1">
      <c r="D62" s="4"/>
      <c r="H62" s="4"/>
      <c r="J62" s="5"/>
    </row>
    <row r="63" spans="4:10" ht="15.75" customHeight="1">
      <c r="D63" s="4"/>
      <c r="H63" s="4"/>
      <c r="J63" s="5"/>
    </row>
    <row r="64" spans="4:10" ht="15.75" customHeight="1">
      <c r="D64" s="4"/>
      <c r="H64" s="4"/>
      <c r="J64" s="5"/>
    </row>
    <row r="65" spans="4:10" ht="15.75" customHeight="1">
      <c r="D65" s="4"/>
      <c r="H65" s="4"/>
      <c r="J65" s="5"/>
    </row>
    <row r="66" spans="4:10" ht="15.75" customHeight="1">
      <c r="D66" s="4"/>
      <c r="H66" s="4"/>
      <c r="J66" s="5"/>
    </row>
    <row r="67" spans="4:10" ht="15.75" customHeight="1">
      <c r="D67" s="4"/>
      <c r="H67" s="4"/>
      <c r="J67" s="5"/>
    </row>
    <row r="68" spans="4:10" ht="15.75" customHeight="1">
      <c r="D68" s="4"/>
      <c r="H68" s="4"/>
      <c r="J68" s="5"/>
    </row>
    <row r="69" spans="4:10" ht="15.75" customHeight="1">
      <c r="D69" s="4"/>
      <c r="H69" s="4"/>
      <c r="J69" s="5"/>
    </row>
    <row r="70" spans="4:10" ht="15.75" customHeight="1">
      <c r="D70" s="4"/>
      <c r="H70" s="4"/>
      <c r="J70" s="5"/>
    </row>
    <row r="71" spans="4:10" ht="15.75" customHeight="1">
      <c r="D71" s="4"/>
      <c r="H71" s="4"/>
      <c r="J71" s="5"/>
    </row>
    <row r="72" spans="4:10" ht="15.75" customHeight="1">
      <c r="D72" s="4"/>
      <c r="H72" s="4"/>
      <c r="J72" s="5"/>
    </row>
    <row r="73" spans="4:10" ht="15.75" customHeight="1">
      <c r="D73" s="4"/>
      <c r="H73" s="4"/>
      <c r="J73" s="5"/>
    </row>
    <row r="74" spans="4:10" ht="15.75" customHeight="1">
      <c r="D74" s="4"/>
      <c r="H74" s="4"/>
      <c r="J74" s="5"/>
    </row>
    <row r="75" spans="4:10" ht="15.75" customHeight="1">
      <c r="D75" s="4"/>
      <c r="H75" s="4"/>
      <c r="J75" s="5"/>
    </row>
    <row r="76" spans="4:10" ht="15.75" customHeight="1">
      <c r="D76" s="4"/>
      <c r="H76" s="4"/>
      <c r="J76" s="5"/>
    </row>
    <row r="77" spans="4:10" ht="15.75" customHeight="1">
      <c r="D77" s="4"/>
      <c r="H77" s="4"/>
      <c r="J77" s="5"/>
    </row>
    <row r="78" spans="4:10" ht="15.75" customHeight="1">
      <c r="D78" s="4"/>
      <c r="H78" s="4"/>
      <c r="J78" s="5"/>
    </row>
    <row r="79" spans="4:10" ht="15.75" customHeight="1">
      <c r="D79" s="4"/>
      <c r="H79" s="4"/>
      <c r="J79" s="5"/>
    </row>
    <row r="80" spans="4:10" ht="15.75" customHeight="1">
      <c r="D80" s="4"/>
      <c r="H80" s="4"/>
      <c r="J80" s="5"/>
    </row>
    <row r="81" spans="4:10" ht="15.75" customHeight="1">
      <c r="D81" s="4"/>
      <c r="H81" s="4"/>
      <c r="J81" s="5"/>
    </row>
    <row r="82" spans="4:10" ht="15.75" customHeight="1">
      <c r="D82" s="4"/>
      <c r="H82" s="4"/>
      <c r="J82" s="5"/>
    </row>
    <row r="83" spans="4:10" ht="15.75" customHeight="1">
      <c r="D83" s="4"/>
      <c r="H83" s="4"/>
      <c r="J83" s="5"/>
    </row>
    <row r="84" spans="4:10" ht="15.75" customHeight="1">
      <c r="D84" s="4"/>
      <c r="H84" s="4"/>
      <c r="J84" s="5"/>
    </row>
    <row r="85" spans="4:10" ht="15.75" customHeight="1">
      <c r="D85" s="4"/>
      <c r="H85" s="4"/>
      <c r="J85" s="5"/>
    </row>
    <row r="86" spans="4:10" ht="15.75" customHeight="1">
      <c r="D86" s="4"/>
      <c r="H86" s="4"/>
      <c r="J86" s="5"/>
    </row>
    <row r="87" spans="4:10" ht="15.75" customHeight="1">
      <c r="D87" s="4"/>
      <c r="H87" s="4"/>
      <c r="J87" s="5"/>
    </row>
    <row r="88" spans="4:10" ht="15.75" customHeight="1">
      <c r="D88" s="4"/>
      <c r="H88" s="4"/>
      <c r="J88" s="5"/>
    </row>
    <row r="89" spans="4:10" ht="15.75" customHeight="1">
      <c r="D89" s="4"/>
      <c r="H89" s="4"/>
      <c r="J89" s="5"/>
    </row>
    <row r="90" spans="4:10" ht="15.75" customHeight="1">
      <c r="D90" s="4"/>
      <c r="H90" s="4"/>
      <c r="J90" s="5"/>
    </row>
    <row r="91" spans="4:10" ht="15.75" customHeight="1">
      <c r="D91" s="4"/>
      <c r="H91" s="4"/>
      <c r="J91" s="5"/>
    </row>
    <row r="92" spans="4:10" ht="15.75" customHeight="1">
      <c r="D92" s="4"/>
      <c r="H92" s="4"/>
      <c r="J92" s="5"/>
    </row>
    <row r="93" spans="4:10" ht="15.75" customHeight="1">
      <c r="D93" s="4"/>
      <c r="H93" s="4"/>
      <c r="J93" s="5"/>
    </row>
    <row r="94" spans="4:10" ht="15.75" customHeight="1">
      <c r="D94" s="4"/>
      <c r="H94" s="4"/>
      <c r="J94" s="5"/>
    </row>
    <row r="95" spans="4:10" ht="15.75" customHeight="1">
      <c r="D95" s="4"/>
      <c r="H95" s="4"/>
      <c r="J95" s="5"/>
    </row>
    <row r="96" spans="4:10" ht="15.75" customHeight="1">
      <c r="D96" s="4"/>
      <c r="H96" s="4"/>
      <c r="J96" s="5"/>
    </row>
    <row r="97" spans="4:10" ht="15.75" customHeight="1">
      <c r="D97" s="4"/>
      <c r="H97" s="4"/>
      <c r="J97" s="5"/>
    </row>
    <row r="98" spans="4:10" ht="15.75" customHeight="1">
      <c r="D98" s="4"/>
      <c r="H98" s="4"/>
      <c r="J98" s="5"/>
    </row>
    <row r="99" spans="4:10" ht="15.75" customHeight="1">
      <c r="D99" s="4"/>
      <c r="H99" s="4"/>
      <c r="J99" s="5"/>
    </row>
    <row r="100" spans="4:10" ht="15.75" customHeight="1">
      <c r="D100" s="4"/>
      <c r="H100" s="4"/>
      <c r="J100" s="5"/>
    </row>
    <row r="101" spans="4:10" ht="15.75" customHeight="1">
      <c r="D101" s="4"/>
      <c r="H101" s="4"/>
      <c r="J101" s="5"/>
    </row>
    <row r="102" spans="4:10" ht="15.75" customHeight="1">
      <c r="D102" s="4"/>
      <c r="H102" s="4"/>
      <c r="J102" s="5"/>
    </row>
    <row r="103" spans="4:10" ht="15.75" customHeight="1">
      <c r="D103" s="4"/>
      <c r="H103" s="4"/>
      <c r="J103" s="5"/>
    </row>
    <row r="104" spans="4:10" ht="15.75" customHeight="1">
      <c r="D104" s="4"/>
      <c r="H104" s="4"/>
      <c r="J104" s="5"/>
    </row>
    <row r="105" spans="4:10" ht="15.75" customHeight="1">
      <c r="D105" s="4"/>
      <c r="H105" s="4"/>
      <c r="J105" s="5"/>
    </row>
    <row r="106" spans="4:10" ht="15.75" customHeight="1">
      <c r="D106" s="4"/>
      <c r="H106" s="4"/>
      <c r="J106" s="5"/>
    </row>
    <row r="107" spans="4:10" ht="15.75" customHeight="1">
      <c r="D107" s="4"/>
      <c r="H107" s="4"/>
      <c r="J107" s="5"/>
    </row>
    <row r="108" spans="4:10" ht="15.75" customHeight="1">
      <c r="D108" s="4"/>
      <c r="H108" s="4"/>
      <c r="J108" s="5"/>
    </row>
    <row r="109" spans="4:10" ht="15.75" customHeight="1">
      <c r="D109" s="4"/>
      <c r="H109" s="4"/>
      <c r="J109" s="5"/>
    </row>
    <row r="110" spans="4:10" ht="15.75" customHeight="1">
      <c r="D110" s="4"/>
      <c r="H110" s="4"/>
      <c r="J110" s="5"/>
    </row>
    <row r="111" spans="4:10" ht="15.75" customHeight="1">
      <c r="D111" s="4"/>
      <c r="H111" s="4"/>
      <c r="J111" s="5"/>
    </row>
    <row r="112" spans="4:10" ht="15.75" customHeight="1">
      <c r="D112" s="4"/>
      <c r="H112" s="4"/>
      <c r="J112" s="5"/>
    </row>
    <row r="113" spans="4:10" ht="15.75" customHeight="1">
      <c r="D113" s="4"/>
      <c r="H113" s="4"/>
      <c r="J113" s="5"/>
    </row>
    <row r="114" spans="4:10" ht="15.75" customHeight="1">
      <c r="D114" s="4"/>
      <c r="H114" s="4"/>
      <c r="J114" s="5"/>
    </row>
    <row r="115" spans="4:10" ht="15.75" customHeight="1">
      <c r="D115" s="4"/>
      <c r="H115" s="4"/>
      <c r="J115" s="5"/>
    </row>
    <row r="116" spans="4:10" ht="15.75" customHeight="1">
      <c r="D116" s="4"/>
      <c r="H116" s="4"/>
      <c r="J116" s="5"/>
    </row>
    <row r="117" spans="4:10" ht="15.75" customHeight="1">
      <c r="D117" s="4"/>
      <c r="H117" s="4"/>
      <c r="J117" s="5"/>
    </row>
    <row r="118" spans="4:10" ht="15.75" customHeight="1">
      <c r="D118" s="4"/>
      <c r="H118" s="4"/>
      <c r="J118" s="5"/>
    </row>
    <row r="119" spans="4:10" ht="15.75" customHeight="1">
      <c r="D119" s="4"/>
      <c r="H119" s="4"/>
      <c r="J119" s="5"/>
    </row>
    <row r="120" spans="4:10" ht="15.75" customHeight="1">
      <c r="D120" s="4"/>
      <c r="H120" s="4"/>
      <c r="J120" s="5"/>
    </row>
    <row r="121" spans="4:10" ht="15.75" customHeight="1">
      <c r="D121" s="4"/>
      <c r="H121" s="4"/>
      <c r="J121" s="5"/>
    </row>
    <row r="122" spans="4:10" ht="15.75" customHeight="1">
      <c r="D122" s="4"/>
      <c r="H122" s="4"/>
      <c r="J122" s="5"/>
    </row>
    <row r="123" spans="4:10" ht="15.75" customHeight="1">
      <c r="D123" s="4"/>
      <c r="H123" s="4"/>
      <c r="J123" s="5"/>
    </row>
    <row r="124" spans="4:10" ht="15.75" customHeight="1">
      <c r="D124" s="4"/>
      <c r="H124" s="4"/>
      <c r="J124" s="5"/>
    </row>
    <row r="125" spans="4:10" ht="15.75" customHeight="1">
      <c r="D125" s="4"/>
      <c r="H125" s="4"/>
      <c r="J125" s="5"/>
    </row>
    <row r="126" spans="4:10" ht="15.75" customHeight="1">
      <c r="D126" s="4"/>
      <c r="H126" s="4"/>
      <c r="J126" s="5"/>
    </row>
    <row r="127" spans="4:10" ht="15.75" customHeight="1">
      <c r="D127" s="4"/>
      <c r="H127" s="4"/>
      <c r="J127" s="5"/>
    </row>
    <row r="128" spans="4:10" ht="15.75" customHeight="1">
      <c r="D128" s="4"/>
      <c r="H128" s="4"/>
      <c r="J128" s="5"/>
    </row>
    <row r="129" spans="4:10" ht="15.75" customHeight="1">
      <c r="D129" s="4"/>
      <c r="H129" s="4"/>
      <c r="J129" s="5"/>
    </row>
    <row r="130" spans="4:10" ht="15.75" customHeight="1">
      <c r="D130" s="4"/>
      <c r="H130" s="4"/>
      <c r="J130" s="5"/>
    </row>
    <row r="131" spans="4:10" ht="15.75" customHeight="1">
      <c r="D131" s="4"/>
      <c r="H131" s="4"/>
      <c r="J131" s="5"/>
    </row>
    <row r="132" spans="4:10" ht="15.75" customHeight="1">
      <c r="D132" s="4"/>
      <c r="H132" s="4"/>
      <c r="J132" s="5"/>
    </row>
    <row r="133" spans="4:10" ht="15.75" customHeight="1">
      <c r="D133" s="4"/>
      <c r="H133" s="4"/>
      <c r="J133" s="5"/>
    </row>
    <row r="134" spans="4:10" ht="15.75" customHeight="1">
      <c r="D134" s="4"/>
      <c r="H134" s="4"/>
      <c r="J134" s="5"/>
    </row>
    <row r="135" spans="4:10" ht="15.75" customHeight="1">
      <c r="D135" s="4"/>
      <c r="H135" s="4"/>
      <c r="J135" s="5"/>
    </row>
    <row r="136" spans="4:10" ht="15.75" customHeight="1">
      <c r="D136" s="4"/>
      <c r="H136" s="4"/>
      <c r="J136" s="5"/>
    </row>
    <row r="137" spans="4:10" ht="15.75" customHeight="1">
      <c r="D137" s="4"/>
      <c r="H137" s="4"/>
      <c r="J137" s="5"/>
    </row>
    <row r="138" spans="4:10" ht="15.75" customHeight="1">
      <c r="D138" s="4"/>
      <c r="H138" s="4"/>
      <c r="J138" s="5"/>
    </row>
    <row r="139" spans="4:10" ht="15.75" customHeight="1">
      <c r="D139" s="4"/>
      <c r="H139" s="4"/>
      <c r="J139" s="5"/>
    </row>
    <row r="140" spans="4:10" ht="15.75" customHeight="1">
      <c r="D140" s="4"/>
      <c r="H140" s="4"/>
      <c r="J140" s="5"/>
    </row>
    <row r="141" spans="4:10" ht="15.75" customHeight="1">
      <c r="D141" s="4"/>
      <c r="H141" s="4"/>
      <c r="J141" s="5"/>
    </row>
    <row r="142" spans="4:10" ht="15.75" customHeight="1">
      <c r="D142" s="4"/>
      <c r="H142" s="4"/>
      <c r="J142" s="5"/>
    </row>
    <row r="143" spans="4:10" ht="15.75" customHeight="1">
      <c r="D143" s="4"/>
      <c r="H143" s="4"/>
      <c r="J143" s="5"/>
    </row>
    <row r="144" spans="4:10" ht="15.75" customHeight="1">
      <c r="D144" s="4"/>
      <c r="H144" s="4"/>
      <c r="J144" s="5"/>
    </row>
    <row r="145" spans="4:10" ht="15.75" customHeight="1">
      <c r="D145" s="4"/>
      <c r="H145" s="4"/>
      <c r="J145" s="5"/>
    </row>
    <row r="146" spans="4:10" ht="15.75" customHeight="1">
      <c r="D146" s="4"/>
      <c r="H146" s="4"/>
      <c r="J146" s="5"/>
    </row>
    <row r="147" spans="4:10" ht="15.75" customHeight="1">
      <c r="D147" s="4"/>
      <c r="H147" s="4"/>
      <c r="J147" s="5"/>
    </row>
    <row r="148" spans="4:10" ht="15.75" customHeight="1">
      <c r="D148" s="4"/>
      <c r="H148" s="4"/>
      <c r="J148" s="5"/>
    </row>
    <row r="149" spans="4:10" ht="15.75" customHeight="1">
      <c r="D149" s="4"/>
      <c r="H149" s="4"/>
      <c r="J149" s="5"/>
    </row>
    <row r="150" spans="4:10" ht="15.75" customHeight="1">
      <c r="D150" s="4"/>
      <c r="H150" s="4"/>
      <c r="J150" s="5"/>
    </row>
    <row r="151" spans="4:10" ht="15.75" customHeight="1">
      <c r="D151" s="4"/>
      <c r="H151" s="4"/>
      <c r="J151" s="5"/>
    </row>
    <row r="152" spans="4:10" ht="15.75" customHeight="1">
      <c r="D152" s="4"/>
      <c r="H152" s="4"/>
      <c r="J152" s="5"/>
    </row>
    <row r="153" spans="4:10" ht="15.75" customHeight="1">
      <c r="D153" s="4"/>
      <c r="H153" s="4"/>
      <c r="J153" s="5"/>
    </row>
    <row r="154" spans="4:10" ht="15.75" customHeight="1">
      <c r="D154" s="4"/>
      <c r="H154" s="4"/>
      <c r="J154" s="5"/>
    </row>
    <row r="155" spans="4:10" ht="15.75" customHeight="1">
      <c r="D155" s="4"/>
      <c r="H155" s="4"/>
      <c r="J155" s="5"/>
    </row>
    <row r="156" spans="4:10" ht="15.75" customHeight="1">
      <c r="D156" s="4"/>
      <c r="H156" s="4"/>
      <c r="J156" s="5"/>
    </row>
    <row r="157" spans="4:10" ht="15.75" customHeight="1">
      <c r="D157" s="4"/>
      <c r="H157" s="4"/>
      <c r="J157" s="5"/>
    </row>
    <row r="158" spans="4:10" ht="15.75" customHeight="1">
      <c r="D158" s="4"/>
      <c r="H158" s="4"/>
      <c r="J158" s="5"/>
    </row>
    <row r="159" spans="4:10" ht="15.75" customHeight="1">
      <c r="D159" s="4"/>
      <c r="H159" s="4"/>
      <c r="J159" s="5"/>
    </row>
    <row r="160" spans="4:10" ht="15.75" customHeight="1">
      <c r="D160" s="4"/>
      <c r="H160" s="4"/>
      <c r="J160" s="5"/>
    </row>
    <row r="161" spans="4:10" ht="15.75" customHeight="1">
      <c r="D161" s="4"/>
      <c r="H161" s="4"/>
      <c r="J161" s="5"/>
    </row>
    <row r="162" spans="4:10" ht="15.75" customHeight="1">
      <c r="D162" s="4"/>
      <c r="H162" s="4"/>
      <c r="J162" s="5"/>
    </row>
    <row r="163" spans="4:10" ht="15.75" customHeight="1">
      <c r="D163" s="4"/>
      <c r="H163" s="4"/>
      <c r="J163" s="5"/>
    </row>
    <row r="164" spans="4:10" ht="15.75" customHeight="1">
      <c r="D164" s="4"/>
      <c r="H164" s="4"/>
      <c r="J164" s="5"/>
    </row>
    <row r="165" spans="4:10" ht="15.75" customHeight="1">
      <c r="D165" s="4"/>
      <c r="H165" s="4"/>
      <c r="J165" s="5"/>
    </row>
    <row r="166" spans="4:10" ht="15.75" customHeight="1">
      <c r="D166" s="4"/>
      <c r="H166" s="4"/>
      <c r="J166" s="5"/>
    </row>
    <row r="167" spans="4:10" ht="15.75" customHeight="1">
      <c r="D167" s="4"/>
      <c r="H167" s="4"/>
      <c r="J167" s="5"/>
    </row>
    <row r="168" spans="4:10" ht="15.75" customHeight="1">
      <c r="D168" s="4"/>
      <c r="H168" s="4"/>
      <c r="J168" s="5"/>
    </row>
    <row r="169" spans="4:10" ht="15.75" customHeight="1">
      <c r="D169" s="4"/>
      <c r="H169" s="4"/>
      <c r="J169" s="5"/>
    </row>
    <row r="170" spans="4:10" ht="15.75" customHeight="1">
      <c r="D170" s="4"/>
      <c r="H170" s="4"/>
      <c r="J170" s="5"/>
    </row>
    <row r="171" spans="4:10" ht="15.75" customHeight="1">
      <c r="D171" s="4"/>
      <c r="H171" s="4"/>
      <c r="J171" s="5"/>
    </row>
    <row r="172" spans="4:10" ht="15.75" customHeight="1">
      <c r="D172" s="4"/>
      <c r="H172" s="4"/>
      <c r="J172" s="5"/>
    </row>
    <row r="173" spans="4:10" ht="15.75" customHeight="1">
      <c r="D173" s="4"/>
      <c r="H173" s="4"/>
      <c r="J173" s="5"/>
    </row>
    <row r="174" spans="4:10" ht="15.75" customHeight="1">
      <c r="D174" s="4"/>
      <c r="H174" s="4"/>
      <c r="J174" s="5"/>
    </row>
    <row r="175" spans="4:10" ht="15.75" customHeight="1">
      <c r="D175" s="4"/>
      <c r="H175" s="4"/>
      <c r="J175" s="5"/>
    </row>
    <row r="176" spans="4:10" ht="15.75" customHeight="1">
      <c r="D176" s="4"/>
      <c r="H176" s="4"/>
      <c r="J176" s="5"/>
    </row>
    <row r="177" spans="4:10" ht="15.75" customHeight="1">
      <c r="D177" s="4"/>
      <c r="H177" s="4"/>
      <c r="J177" s="5"/>
    </row>
    <row r="178" spans="4:10" ht="15.75" customHeight="1">
      <c r="D178" s="4"/>
      <c r="H178" s="4"/>
      <c r="J178" s="5"/>
    </row>
    <row r="179" spans="4:10" ht="15.75" customHeight="1">
      <c r="D179" s="4"/>
      <c r="H179" s="4"/>
      <c r="J179" s="5"/>
    </row>
    <row r="180" spans="4:10" ht="15.75" customHeight="1">
      <c r="D180" s="4"/>
      <c r="H180" s="4"/>
      <c r="J180" s="5"/>
    </row>
    <row r="181" spans="4:10" ht="15.75" customHeight="1">
      <c r="D181" s="4"/>
      <c r="H181" s="4"/>
      <c r="J181" s="5"/>
    </row>
    <row r="182" spans="4:10" ht="15.75" customHeight="1">
      <c r="D182" s="4"/>
      <c r="H182" s="4"/>
      <c r="J182" s="5"/>
    </row>
    <row r="183" spans="4:10" ht="15.75" customHeight="1">
      <c r="D183" s="4"/>
      <c r="H183" s="4"/>
      <c r="J183" s="5"/>
    </row>
    <row r="184" spans="4:10" ht="15.75" customHeight="1">
      <c r="D184" s="4"/>
      <c r="H184" s="4"/>
      <c r="J184" s="5"/>
    </row>
    <row r="185" spans="4:10" ht="15.75" customHeight="1">
      <c r="D185" s="4"/>
      <c r="H185" s="4"/>
      <c r="J185" s="5"/>
    </row>
    <row r="186" spans="4:10" ht="15.75" customHeight="1">
      <c r="D186" s="4"/>
      <c r="H186" s="4"/>
      <c r="J186" s="5"/>
    </row>
    <row r="187" spans="4:10" ht="15.75" customHeight="1">
      <c r="D187" s="4"/>
      <c r="H187" s="4"/>
      <c r="J187" s="5"/>
    </row>
    <row r="188" spans="4:10" ht="15.75" customHeight="1">
      <c r="D188" s="4"/>
      <c r="H188" s="4"/>
      <c r="J188" s="5"/>
    </row>
    <row r="189" spans="4:10" ht="15.75" customHeight="1">
      <c r="D189" s="4"/>
      <c r="H189" s="4"/>
      <c r="J189" s="5"/>
    </row>
    <row r="190" spans="4:10" ht="15.75" customHeight="1">
      <c r="D190" s="4"/>
      <c r="H190" s="4"/>
      <c r="J190" s="5"/>
    </row>
    <row r="191" spans="4:10" ht="15.75" customHeight="1">
      <c r="D191" s="4"/>
      <c r="H191" s="4"/>
      <c r="J191" s="5"/>
    </row>
    <row r="192" spans="4:10" ht="15.75" customHeight="1">
      <c r="D192" s="4"/>
      <c r="H192" s="4"/>
      <c r="J192" s="5"/>
    </row>
    <row r="193" spans="4:10" ht="15.75" customHeight="1">
      <c r="D193" s="4"/>
      <c r="H193" s="4"/>
      <c r="J193" s="5"/>
    </row>
    <row r="194" spans="4:10" ht="15.75" customHeight="1">
      <c r="D194" s="4"/>
      <c r="H194" s="4"/>
      <c r="J194" s="5"/>
    </row>
    <row r="195" spans="4:10" ht="15.75" customHeight="1">
      <c r="D195" s="4"/>
      <c r="H195" s="4"/>
      <c r="J195" s="5"/>
    </row>
    <row r="196" spans="4:10" ht="15.75" customHeight="1">
      <c r="D196" s="4"/>
      <c r="H196" s="4"/>
      <c r="J196" s="5"/>
    </row>
    <row r="197" spans="4:10" ht="15.75" customHeight="1">
      <c r="D197" s="4"/>
      <c r="H197" s="4"/>
      <c r="J197" s="5"/>
    </row>
    <row r="198" spans="4:10" ht="15.75" customHeight="1">
      <c r="D198" s="4"/>
      <c r="H198" s="4"/>
      <c r="J198" s="5"/>
    </row>
    <row r="199" spans="4:10" ht="15.75" customHeight="1">
      <c r="D199" s="4"/>
      <c r="H199" s="4"/>
      <c r="J199" s="5"/>
    </row>
    <row r="200" spans="4:10" ht="15.75" customHeight="1">
      <c r="D200" s="4"/>
      <c r="H200" s="4"/>
      <c r="J200" s="5"/>
    </row>
    <row r="201" spans="4:10" ht="15.75" customHeight="1">
      <c r="D201" s="4"/>
      <c r="H201" s="4"/>
      <c r="J201" s="5"/>
    </row>
    <row r="202" spans="4:10" ht="15.75" customHeight="1">
      <c r="D202" s="4"/>
      <c r="H202" s="4"/>
      <c r="J202" s="5"/>
    </row>
    <row r="203" spans="4:10" ht="15.75" customHeight="1">
      <c r="D203" s="4"/>
      <c r="H203" s="4"/>
      <c r="J203" s="5"/>
    </row>
    <row r="204" spans="4:10" ht="15.75" customHeight="1">
      <c r="D204" s="4"/>
      <c r="H204" s="4"/>
      <c r="J204" s="5"/>
    </row>
    <row r="205" spans="4:10" ht="15.75" customHeight="1">
      <c r="D205" s="4"/>
      <c r="H205" s="4"/>
      <c r="J205" s="5"/>
    </row>
    <row r="206" spans="4:10" ht="15.75" customHeight="1">
      <c r="D206" s="4"/>
      <c r="H206" s="4"/>
      <c r="J206" s="5"/>
    </row>
    <row r="207" spans="4:10" ht="15.75" customHeight="1">
      <c r="D207" s="4"/>
      <c r="H207" s="4"/>
      <c r="J207" s="5"/>
    </row>
    <row r="208" spans="4:10" ht="15.75" customHeight="1">
      <c r="D208" s="4"/>
      <c r="H208" s="4"/>
      <c r="J208" s="5"/>
    </row>
    <row r="209" spans="4:10" ht="15.75" customHeight="1">
      <c r="D209" s="4"/>
      <c r="H209" s="4"/>
      <c r="J209" s="5"/>
    </row>
    <row r="210" spans="4:10" ht="15.75" customHeight="1">
      <c r="D210" s="4"/>
      <c r="H210" s="4"/>
      <c r="J210" s="5"/>
    </row>
    <row r="211" spans="4:10" ht="15.75" customHeight="1">
      <c r="D211" s="4"/>
      <c r="H211" s="4"/>
      <c r="J211" s="5"/>
    </row>
    <row r="212" spans="4:10" ht="15.75" customHeight="1">
      <c r="D212" s="4"/>
      <c r="H212" s="4"/>
      <c r="J212" s="5"/>
    </row>
    <row r="213" spans="4:10" ht="15.75" customHeight="1">
      <c r="D213" s="4"/>
      <c r="H213" s="4"/>
      <c r="J213" s="5"/>
    </row>
    <row r="214" spans="4:10" ht="15.75" customHeight="1">
      <c r="D214" s="4"/>
      <c r="H214" s="4"/>
      <c r="J214" s="5"/>
    </row>
    <row r="215" spans="4:10" ht="15.75" customHeight="1">
      <c r="D215" s="4"/>
      <c r="H215" s="4"/>
      <c r="J215" s="5"/>
    </row>
    <row r="216" spans="4:10" ht="15.75" customHeight="1">
      <c r="D216" s="4"/>
      <c r="H216" s="4"/>
      <c r="J216" s="5"/>
    </row>
    <row r="217" spans="4:10" ht="15.75" customHeight="1">
      <c r="D217" s="4"/>
      <c r="H217" s="4"/>
      <c r="J217" s="5"/>
    </row>
    <row r="218" spans="4:10" ht="15.75" customHeight="1">
      <c r="D218" s="4"/>
      <c r="H218" s="4"/>
      <c r="J218" s="5"/>
    </row>
    <row r="219" spans="4:10" ht="15.75" customHeight="1">
      <c r="D219" s="4"/>
      <c r="H219" s="4"/>
      <c r="J219" s="5"/>
    </row>
    <row r="220" spans="4:10" ht="15.75" customHeight="1">
      <c r="D220" s="4"/>
      <c r="H220" s="4"/>
      <c r="J220" s="5"/>
    </row>
    <row r="221" spans="4:10" ht="15.75" customHeight="1">
      <c r="D221" s="4"/>
      <c r="H221" s="4"/>
      <c r="J221" s="5"/>
    </row>
    <row r="222" spans="4:10" ht="15.75" customHeight="1">
      <c r="D222" s="4"/>
      <c r="H222" s="4"/>
    </row>
    <row r="223" spans="4:10" ht="15.75" customHeight="1">
      <c r="D223" s="4"/>
      <c r="H223" s="4"/>
    </row>
    <row r="224" spans="4:10" ht="15.75" customHeight="1">
      <c r="D224" s="4"/>
      <c r="H224" s="4"/>
    </row>
    <row r="225" spans="4:8" ht="15.75" customHeight="1">
      <c r="D225" s="4"/>
      <c r="H225" s="4"/>
    </row>
    <row r="226" spans="4:8" ht="15.75" customHeight="1">
      <c r="D226" s="4"/>
      <c r="H226" s="4"/>
    </row>
    <row r="227" spans="4:8" ht="15.75" customHeight="1">
      <c r="D227" s="4"/>
      <c r="H227" s="4"/>
    </row>
    <row r="228" spans="4:8" ht="15.75" customHeight="1">
      <c r="D228" s="4"/>
      <c r="H228" s="4"/>
    </row>
    <row r="229" spans="4:8" ht="15.75" customHeight="1">
      <c r="D229" s="4"/>
      <c r="H229" s="4"/>
    </row>
    <row r="230" spans="4:8" ht="15.75" customHeight="1">
      <c r="D230" s="4"/>
      <c r="H230" s="4"/>
    </row>
    <row r="231" spans="4:8" ht="15.75" customHeight="1">
      <c r="D231" s="4"/>
      <c r="H231" s="4"/>
    </row>
    <row r="232" spans="4:8" ht="15.75" customHeight="1">
      <c r="D232" s="4"/>
      <c r="H232" s="4"/>
    </row>
    <row r="233" spans="4:8" ht="15.75" customHeight="1">
      <c r="D233" s="4"/>
      <c r="H233" s="4"/>
    </row>
    <row r="234" spans="4:8" ht="15.75" customHeight="1">
      <c r="D234" s="4"/>
      <c r="H234" s="4"/>
    </row>
    <row r="235" spans="4:8" ht="15.75" customHeight="1">
      <c r="D235" s="4"/>
      <c r="H235" s="4"/>
    </row>
    <row r="236" spans="4:8" ht="15.75" customHeight="1">
      <c r="D236" s="4"/>
      <c r="H236" s="4"/>
    </row>
    <row r="237" spans="4:8" ht="15.75" customHeight="1">
      <c r="D237" s="4"/>
      <c r="H237" s="4"/>
    </row>
    <row r="238" spans="4:8" ht="15.75" customHeight="1">
      <c r="D238" s="4"/>
      <c r="H238" s="4"/>
    </row>
    <row r="239" spans="4:8" ht="15.75" customHeight="1">
      <c r="D239" s="4"/>
      <c r="H239" s="4"/>
    </row>
    <row r="240" spans="4:8" ht="15.75" customHeight="1">
      <c r="D240" s="4"/>
      <c r="H240" s="4"/>
    </row>
    <row r="241" spans="4:8" ht="15.75" customHeight="1">
      <c r="D241" s="4"/>
      <c r="H241" s="4"/>
    </row>
    <row r="242" spans="4:8" ht="15.75" customHeight="1">
      <c r="D242" s="4"/>
      <c r="H242" s="4"/>
    </row>
    <row r="243" spans="4:8" ht="15.75" customHeight="1">
      <c r="D243" s="4"/>
      <c r="H243" s="4"/>
    </row>
    <row r="244" spans="4:8" ht="15.75" customHeight="1">
      <c r="D244" s="4"/>
      <c r="H244" s="4"/>
    </row>
    <row r="245" spans="4:8" ht="15.75" customHeight="1">
      <c r="D245" s="4"/>
      <c r="H245" s="4"/>
    </row>
    <row r="246" spans="4:8" ht="15.75" customHeight="1">
      <c r="D246" s="4"/>
      <c r="H246" s="4"/>
    </row>
    <row r="247" spans="4:8" ht="15.75" customHeight="1">
      <c r="D247" s="4"/>
      <c r="H247" s="4"/>
    </row>
    <row r="248" spans="4:8" ht="15.75" customHeight="1">
      <c r="D248" s="4"/>
      <c r="H248" s="4"/>
    </row>
    <row r="249" spans="4:8" ht="15.75" customHeight="1">
      <c r="D249" s="4"/>
      <c r="H249" s="4"/>
    </row>
    <row r="250" spans="4:8" ht="15.75" customHeight="1">
      <c r="D250" s="4"/>
      <c r="H250" s="4"/>
    </row>
    <row r="251" spans="4:8" ht="15.75" customHeight="1">
      <c r="D251" s="4"/>
      <c r="H251" s="4"/>
    </row>
    <row r="252" spans="4:8" ht="15.75" customHeight="1">
      <c r="D252" s="4"/>
      <c r="H252" s="4"/>
    </row>
    <row r="253" spans="4:8" ht="15.75" customHeight="1">
      <c r="D253" s="4"/>
      <c r="H253" s="4"/>
    </row>
    <row r="254" spans="4:8" ht="15.75" customHeight="1">
      <c r="D254" s="4"/>
      <c r="H254" s="4"/>
    </row>
    <row r="255" spans="4:8" ht="15.75" customHeight="1">
      <c r="D255" s="4"/>
      <c r="H255" s="4"/>
    </row>
    <row r="256" spans="4:8" ht="15.75" customHeight="1">
      <c r="D256" s="4"/>
      <c r="H256" s="4"/>
    </row>
    <row r="257" spans="4:8" ht="15.75" customHeight="1">
      <c r="D257" s="4"/>
      <c r="H257" s="4"/>
    </row>
    <row r="258" spans="4:8" ht="15.75" customHeight="1">
      <c r="D258" s="4"/>
      <c r="H258" s="4"/>
    </row>
    <row r="259" spans="4:8" ht="15.75" customHeight="1">
      <c r="D259" s="4"/>
      <c r="H259" s="4"/>
    </row>
    <row r="260" spans="4:8" ht="15.75" customHeight="1">
      <c r="D260" s="4"/>
      <c r="H260" s="4"/>
    </row>
    <row r="261" spans="4:8" ht="15.75" customHeight="1">
      <c r="D261" s="4"/>
      <c r="H261" s="4"/>
    </row>
    <row r="262" spans="4:8" ht="15.75" customHeight="1">
      <c r="D262" s="4"/>
      <c r="H262" s="4"/>
    </row>
    <row r="263" spans="4:8" ht="15.75" customHeight="1">
      <c r="D263" s="4"/>
      <c r="H263" s="4"/>
    </row>
    <row r="264" spans="4:8" ht="15.75" customHeight="1">
      <c r="D264" s="4"/>
      <c r="H264" s="4"/>
    </row>
    <row r="265" spans="4:8" ht="15.75" customHeight="1">
      <c r="D265" s="4"/>
      <c r="H265" s="4"/>
    </row>
    <row r="266" spans="4:8" ht="15.75" customHeight="1">
      <c r="D266" s="4"/>
      <c r="H266" s="4"/>
    </row>
    <row r="267" spans="4:8" ht="15.75" customHeight="1">
      <c r="D267" s="4"/>
      <c r="H267" s="4"/>
    </row>
    <row r="268" spans="4:8" ht="15.75" customHeight="1">
      <c r="D268" s="4"/>
      <c r="H268" s="4"/>
    </row>
    <row r="269" spans="4:8" ht="15.75" customHeight="1">
      <c r="D269" s="4"/>
      <c r="H269" s="4"/>
    </row>
    <row r="270" spans="4:8" ht="15.75" customHeight="1">
      <c r="D270" s="4"/>
      <c r="H270" s="4"/>
    </row>
    <row r="271" spans="4:8" ht="15.75" customHeight="1">
      <c r="D271" s="4"/>
      <c r="H271" s="4"/>
    </row>
    <row r="272" spans="4:8" ht="15.75" customHeight="1">
      <c r="D272" s="4"/>
      <c r="H272" s="4"/>
    </row>
    <row r="273" spans="4:8" ht="15.75" customHeight="1">
      <c r="D273" s="4"/>
      <c r="H273" s="4"/>
    </row>
    <row r="274" spans="4:8" ht="15.75" customHeight="1">
      <c r="D274" s="4"/>
      <c r="H274" s="4"/>
    </row>
    <row r="275" spans="4:8" ht="15.75" customHeight="1">
      <c r="D275" s="4"/>
      <c r="H275" s="4"/>
    </row>
    <row r="276" spans="4:8" ht="15.75" customHeight="1">
      <c r="D276" s="4"/>
      <c r="H276" s="4"/>
    </row>
    <row r="277" spans="4:8" ht="15.75" customHeight="1">
      <c r="D277" s="4"/>
      <c r="H277" s="4"/>
    </row>
    <row r="278" spans="4:8" ht="15.75" customHeight="1">
      <c r="D278" s="4"/>
      <c r="H278" s="4"/>
    </row>
    <row r="279" spans="4:8" ht="15.75" customHeight="1">
      <c r="D279" s="4"/>
      <c r="H279" s="4"/>
    </row>
    <row r="280" spans="4:8" ht="15.75" customHeight="1">
      <c r="D280" s="4"/>
      <c r="H280" s="4"/>
    </row>
    <row r="281" spans="4:8" ht="15.75" customHeight="1">
      <c r="D281" s="4"/>
      <c r="H281" s="4"/>
    </row>
    <row r="282" spans="4:8" ht="15.75" customHeight="1">
      <c r="D282" s="4"/>
      <c r="H282" s="4"/>
    </row>
    <row r="283" spans="4:8" ht="15.75" customHeight="1">
      <c r="D283" s="4"/>
      <c r="H283" s="4"/>
    </row>
    <row r="284" spans="4:8" ht="15.75" customHeight="1">
      <c r="D284" s="4"/>
      <c r="H284" s="4"/>
    </row>
    <row r="285" spans="4:8" ht="15.75" customHeight="1">
      <c r="D285" s="4"/>
      <c r="H285" s="4"/>
    </row>
    <row r="286" spans="4:8" ht="15.75" customHeight="1">
      <c r="D286" s="4"/>
      <c r="H286" s="4"/>
    </row>
    <row r="287" spans="4:8" ht="15.75" customHeight="1">
      <c r="D287" s="4"/>
      <c r="H287" s="4"/>
    </row>
    <row r="288" spans="4:8" ht="15.75" customHeight="1">
      <c r="D288" s="4"/>
      <c r="H288" s="4"/>
    </row>
    <row r="289" spans="4:8" ht="15.75" customHeight="1">
      <c r="D289" s="4"/>
      <c r="H289" s="4"/>
    </row>
    <row r="290" spans="4:8" ht="15.75" customHeight="1">
      <c r="D290" s="4"/>
      <c r="H290" s="4"/>
    </row>
    <row r="291" spans="4:8" ht="15.75" customHeight="1">
      <c r="D291" s="4"/>
      <c r="H291" s="4"/>
    </row>
    <row r="292" spans="4:8" ht="15.75" customHeight="1">
      <c r="D292" s="4"/>
      <c r="H292" s="4"/>
    </row>
    <row r="293" spans="4:8" ht="15.75" customHeight="1">
      <c r="D293" s="4"/>
      <c r="H293" s="4"/>
    </row>
    <row r="294" spans="4:8" ht="15.75" customHeight="1">
      <c r="D294" s="4"/>
      <c r="H294" s="4"/>
    </row>
    <row r="295" spans="4:8" ht="15.75" customHeight="1">
      <c r="D295" s="4"/>
      <c r="H295" s="4"/>
    </row>
    <row r="296" spans="4:8" ht="15.75" customHeight="1">
      <c r="D296" s="4"/>
      <c r="H296" s="4"/>
    </row>
    <row r="297" spans="4:8" ht="15.75" customHeight="1">
      <c r="D297" s="4"/>
      <c r="H297" s="4"/>
    </row>
    <row r="298" spans="4:8" ht="15.75" customHeight="1">
      <c r="D298" s="4"/>
      <c r="H298" s="4"/>
    </row>
    <row r="299" spans="4:8" ht="15.75" customHeight="1">
      <c r="D299" s="4"/>
      <c r="H299" s="4"/>
    </row>
    <row r="300" spans="4:8" ht="15.75" customHeight="1">
      <c r="D300" s="4"/>
      <c r="H300" s="4"/>
    </row>
    <row r="301" spans="4:8" ht="15.75" customHeight="1">
      <c r="D301" s="4"/>
      <c r="H301" s="4"/>
    </row>
    <row r="302" spans="4:8" ht="15.75" customHeight="1">
      <c r="D302" s="4"/>
      <c r="H302" s="4"/>
    </row>
    <row r="303" spans="4:8" ht="15.75" customHeight="1">
      <c r="D303" s="4"/>
      <c r="H303" s="4"/>
    </row>
    <row r="304" spans="4:8" ht="15.75" customHeight="1">
      <c r="D304" s="4"/>
      <c r="H304" s="4"/>
    </row>
    <row r="305" spans="4:8" ht="15.75" customHeight="1">
      <c r="D305" s="4"/>
      <c r="H305" s="4"/>
    </row>
    <row r="306" spans="4:8" ht="15.75" customHeight="1">
      <c r="D306" s="4"/>
      <c r="H306" s="4"/>
    </row>
    <row r="307" spans="4:8" ht="15.75" customHeight="1">
      <c r="D307" s="4"/>
      <c r="H307" s="4"/>
    </row>
    <row r="308" spans="4:8" ht="15.75" customHeight="1">
      <c r="D308" s="4"/>
      <c r="H308" s="4"/>
    </row>
    <row r="309" spans="4:8" ht="15.75" customHeight="1">
      <c r="D309" s="4"/>
      <c r="H309" s="4"/>
    </row>
    <row r="310" spans="4:8" ht="15.75" customHeight="1">
      <c r="D310" s="4"/>
      <c r="H310" s="4"/>
    </row>
    <row r="311" spans="4:8" ht="15.75" customHeight="1">
      <c r="D311" s="4"/>
      <c r="H311" s="4"/>
    </row>
    <row r="312" spans="4:8" ht="15.75" customHeight="1">
      <c r="D312" s="4"/>
      <c r="H312" s="4"/>
    </row>
    <row r="313" spans="4:8" ht="15.75" customHeight="1">
      <c r="D313" s="4"/>
      <c r="H313" s="4"/>
    </row>
    <row r="314" spans="4:8" ht="15.75" customHeight="1">
      <c r="D314" s="4"/>
      <c r="H314" s="4"/>
    </row>
    <row r="315" spans="4:8" ht="15.75" customHeight="1">
      <c r="D315" s="4"/>
      <c r="H315" s="4"/>
    </row>
    <row r="316" spans="4:8" ht="15.75" customHeight="1">
      <c r="D316" s="4"/>
      <c r="H316" s="4"/>
    </row>
    <row r="317" spans="4:8" ht="15.75" customHeight="1">
      <c r="D317" s="4"/>
      <c r="H317" s="4"/>
    </row>
    <row r="318" spans="4:8" ht="15.75" customHeight="1">
      <c r="D318" s="4"/>
      <c r="H318" s="4"/>
    </row>
    <row r="319" spans="4:8" ht="15.75" customHeight="1">
      <c r="D319" s="4"/>
      <c r="H319" s="4"/>
    </row>
    <row r="320" spans="4:8" ht="15.75" customHeight="1">
      <c r="D320" s="4"/>
      <c r="H320" s="4"/>
    </row>
    <row r="321" spans="4:8" ht="15.75" customHeight="1">
      <c r="D321" s="4"/>
      <c r="H321" s="4"/>
    </row>
    <row r="322" spans="4:8" ht="15.75" customHeight="1">
      <c r="D322" s="4"/>
      <c r="H322" s="4"/>
    </row>
    <row r="323" spans="4:8" ht="15.75" customHeight="1">
      <c r="D323" s="4"/>
      <c r="H323" s="4"/>
    </row>
    <row r="324" spans="4:8" ht="15.75" customHeight="1">
      <c r="D324" s="4"/>
      <c r="H324" s="4"/>
    </row>
    <row r="325" spans="4:8" ht="15.75" customHeight="1">
      <c r="D325" s="4"/>
      <c r="H325" s="4"/>
    </row>
    <row r="326" spans="4:8" ht="15.75" customHeight="1">
      <c r="D326" s="4"/>
      <c r="H326" s="4"/>
    </row>
    <row r="327" spans="4:8" ht="15.75" customHeight="1">
      <c r="D327" s="4"/>
      <c r="H327" s="4"/>
    </row>
    <row r="328" spans="4:8" ht="15.75" customHeight="1">
      <c r="D328" s="4"/>
      <c r="H328" s="4"/>
    </row>
    <row r="329" spans="4:8" ht="15.75" customHeight="1">
      <c r="D329" s="4"/>
      <c r="H329" s="4"/>
    </row>
    <row r="330" spans="4:8" ht="15.75" customHeight="1">
      <c r="D330" s="4"/>
      <c r="H330" s="4"/>
    </row>
    <row r="331" spans="4:8" ht="15.75" customHeight="1">
      <c r="D331" s="4"/>
      <c r="H331" s="4"/>
    </row>
    <row r="332" spans="4:8" ht="15.75" customHeight="1">
      <c r="D332" s="4"/>
      <c r="H332" s="4"/>
    </row>
    <row r="333" spans="4:8" ht="15.75" customHeight="1">
      <c r="D333" s="4"/>
      <c r="H333" s="4"/>
    </row>
    <row r="334" spans="4:8" ht="15.75" customHeight="1">
      <c r="D334" s="4"/>
      <c r="H334" s="4"/>
    </row>
    <row r="335" spans="4:8" ht="15.75" customHeight="1">
      <c r="D335" s="4"/>
      <c r="H335" s="4"/>
    </row>
    <row r="336" spans="4:8" ht="15.75" customHeight="1">
      <c r="D336" s="4"/>
      <c r="H336" s="4"/>
    </row>
    <row r="337" spans="4:8" ht="15.75" customHeight="1">
      <c r="D337" s="4"/>
      <c r="H337" s="4"/>
    </row>
    <row r="338" spans="4:8" ht="15.75" customHeight="1">
      <c r="D338" s="4"/>
      <c r="H338" s="4"/>
    </row>
    <row r="339" spans="4:8" ht="15.75" customHeight="1">
      <c r="D339" s="4"/>
      <c r="H339" s="4"/>
    </row>
    <row r="340" spans="4:8" ht="15.75" customHeight="1">
      <c r="D340" s="4"/>
      <c r="H340" s="4"/>
    </row>
    <row r="341" spans="4:8" ht="15.75" customHeight="1">
      <c r="D341" s="4"/>
      <c r="H341" s="4"/>
    </row>
    <row r="342" spans="4:8" ht="15.75" customHeight="1">
      <c r="D342" s="4"/>
      <c r="H342" s="4"/>
    </row>
    <row r="343" spans="4:8" ht="15.75" customHeight="1">
      <c r="D343" s="4"/>
      <c r="H343" s="4"/>
    </row>
    <row r="344" spans="4:8" ht="15.75" customHeight="1">
      <c r="D344" s="4"/>
      <c r="H344" s="4"/>
    </row>
    <row r="345" spans="4:8" ht="15.75" customHeight="1">
      <c r="D345" s="4"/>
      <c r="H345" s="4"/>
    </row>
    <row r="346" spans="4:8" ht="15.75" customHeight="1">
      <c r="D346" s="4"/>
      <c r="H346" s="4"/>
    </row>
    <row r="347" spans="4:8" ht="15.75" customHeight="1">
      <c r="D347" s="4"/>
      <c r="H347" s="4"/>
    </row>
    <row r="348" spans="4:8" ht="15.75" customHeight="1">
      <c r="D348" s="4"/>
      <c r="H348" s="4"/>
    </row>
    <row r="349" spans="4:8" ht="15.75" customHeight="1">
      <c r="D349" s="4"/>
      <c r="H349" s="4"/>
    </row>
    <row r="350" spans="4:8" ht="15.75" customHeight="1">
      <c r="D350" s="4"/>
      <c r="H350" s="4"/>
    </row>
    <row r="351" spans="4:8" ht="15.75" customHeight="1">
      <c r="D351" s="4"/>
      <c r="H351" s="4"/>
    </row>
    <row r="352" spans="4:8" ht="15.75" customHeight="1">
      <c r="D352" s="4"/>
      <c r="H352" s="4"/>
    </row>
    <row r="353" spans="4:8" ht="15.75" customHeight="1">
      <c r="D353" s="4"/>
      <c r="H353" s="4"/>
    </row>
    <row r="354" spans="4:8" ht="15.75" customHeight="1">
      <c r="D354" s="4"/>
      <c r="H354" s="4"/>
    </row>
    <row r="355" spans="4:8" ht="15.75" customHeight="1">
      <c r="D355" s="4"/>
      <c r="H355" s="4"/>
    </row>
    <row r="356" spans="4:8" ht="15.75" customHeight="1">
      <c r="D356" s="4"/>
      <c r="H356" s="4"/>
    </row>
    <row r="357" spans="4:8" ht="15.75" customHeight="1">
      <c r="D357" s="4"/>
      <c r="H357" s="4"/>
    </row>
    <row r="358" spans="4:8" ht="15.75" customHeight="1">
      <c r="D358" s="4"/>
      <c r="H358" s="4"/>
    </row>
    <row r="359" spans="4:8" ht="15.75" customHeight="1">
      <c r="D359" s="4"/>
      <c r="H359" s="4"/>
    </row>
    <row r="360" spans="4:8" ht="15.75" customHeight="1">
      <c r="D360" s="4"/>
      <c r="H360" s="4"/>
    </row>
    <row r="361" spans="4:8" ht="15.75" customHeight="1">
      <c r="D361" s="4"/>
      <c r="H361" s="4"/>
    </row>
    <row r="362" spans="4:8" ht="15.75" customHeight="1">
      <c r="D362" s="4"/>
      <c r="H362" s="4"/>
    </row>
    <row r="363" spans="4:8" ht="15.75" customHeight="1">
      <c r="D363" s="4"/>
      <c r="H363" s="4"/>
    </row>
    <row r="364" spans="4:8" ht="15.75" customHeight="1">
      <c r="D364" s="4"/>
      <c r="H364" s="4"/>
    </row>
    <row r="365" spans="4:8" ht="15.75" customHeight="1">
      <c r="D365" s="4"/>
      <c r="H365" s="4"/>
    </row>
    <row r="366" spans="4:8" ht="15.75" customHeight="1">
      <c r="D366" s="4"/>
      <c r="H366" s="4"/>
    </row>
    <row r="367" spans="4:8" ht="15.75" customHeight="1">
      <c r="D367" s="4"/>
      <c r="H367" s="4"/>
    </row>
    <row r="368" spans="4:8" ht="15.75" customHeight="1">
      <c r="D368" s="4"/>
      <c r="H368" s="4"/>
    </row>
    <row r="369" spans="4:8" ht="15.75" customHeight="1">
      <c r="D369" s="4"/>
      <c r="H369" s="4"/>
    </row>
    <row r="370" spans="4:8" ht="15.75" customHeight="1">
      <c r="D370" s="4"/>
      <c r="H370" s="4"/>
    </row>
    <row r="371" spans="4:8" ht="15.75" customHeight="1">
      <c r="D371" s="4"/>
      <c r="H371" s="4"/>
    </row>
    <row r="372" spans="4:8" ht="15.75" customHeight="1">
      <c r="D372" s="4"/>
      <c r="H372" s="4"/>
    </row>
    <row r="373" spans="4:8" ht="15.75" customHeight="1">
      <c r="D373" s="4"/>
      <c r="H373" s="4"/>
    </row>
    <row r="374" spans="4:8" ht="15.75" customHeight="1">
      <c r="D374" s="4"/>
      <c r="H374" s="4"/>
    </row>
    <row r="375" spans="4:8" ht="15.75" customHeight="1">
      <c r="D375" s="4"/>
      <c r="H375" s="4"/>
    </row>
    <row r="376" spans="4:8" ht="15.75" customHeight="1">
      <c r="D376" s="4"/>
      <c r="H376" s="4"/>
    </row>
    <row r="377" spans="4:8" ht="15.75" customHeight="1">
      <c r="D377" s="4"/>
      <c r="H377" s="4"/>
    </row>
    <row r="378" spans="4:8" ht="15.75" customHeight="1">
      <c r="D378" s="4"/>
      <c r="H378" s="4"/>
    </row>
    <row r="379" spans="4:8" ht="15.75" customHeight="1">
      <c r="D379" s="4"/>
      <c r="H379" s="4"/>
    </row>
    <row r="380" spans="4:8" ht="15.75" customHeight="1">
      <c r="D380" s="4"/>
      <c r="H380" s="4"/>
    </row>
    <row r="381" spans="4:8" ht="15.75" customHeight="1">
      <c r="D381" s="4"/>
      <c r="H381" s="4"/>
    </row>
    <row r="382" spans="4:8" ht="15.75" customHeight="1">
      <c r="D382" s="4"/>
      <c r="H382" s="4"/>
    </row>
    <row r="383" spans="4:8" ht="15.75" customHeight="1">
      <c r="D383" s="4"/>
      <c r="H383" s="4"/>
    </row>
    <row r="384" spans="4:8" ht="15.75" customHeight="1">
      <c r="D384" s="4"/>
      <c r="H384" s="4"/>
    </row>
    <row r="385" spans="4:8" ht="15.75" customHeight="1">
      <c r="D385" s="4"/>
      <c r="H385" s="4"/>
    </row>
    <row r="386" spans="4:8" ht="15.75" customHeight="1">
      <c r="D386" s="4"/>
      <c r="H386" s="4"/>
    </row>
    <row r="387" spans="4:8" ht="15.75" customHeight="1">
      <c r="D387" s="4"/>
      <c r="H387" s="4"/>
    </row>
    <row r="388" spans="4:8" ht="15.75" customHeight="1">
      <c r="D388" s="4"/>
      <c r="H388" s="4"/>
    </row>
    <row r="389" spans="4:8" ht="15.75" customHeight="1">
      <c r="D389" s="4"/>
      <c r="H389" s="4"/>
    </row>
    <row r="390" spans="4:8" ht="15.75" customHeight="1">
      <c r="D390" s="4"/>
      <c r="H390" s="4"/>
    </row>
    <row r="391" spans="4:8" ht="15.75" customHeight="1">
      <c r="D391" s="4"/>
      <c r="H391" s="4"/>
    </row>
    <row r="392" spans="4:8" ht="15.75" customHeight="1">
      <c r="D392" s="4"/>
      <c r="H392" s="4"/>
    </row>
    <row r="393" spans="4:8" ht="15.75" customHeight="1">
      <c r="D393" s="4"/>
      <c r="H393" s="4"/>
    </row>
    <row r="394" spans="4:8" ht="15.75" customHeight="1">
      <c r="D394" s="4"/>
      <c r="H394" s="4"/>
    </row>
    <row r="395" spans="4:8" ht="15.75" customHeight="1">
      <c r="D395" s="4"/>
      <c r="H395" s="4"/>
    </row>
    <row r="396" spans="4:8" ht="15.75" customHeight="1">
      <c r="D396" s="4"/>
      <c r="H396" s="4"/>
    </row>
    <row r="397" spans="4:8" ht="15.75" customHeight="1">
      <c r="D397" s="4"/>
      <c r="H397" s="4"/>
    </row>
    <row r="398" spans="4:8" ht="15.75" customHeight="1">
      <c r="D398" s="4"/>
      <c r="H398" s="4"/>
    </row>
    <row r="399" spans="4:8" ht="15.75" customHeight="1">
      <c r="D399" s="4"/>
      <c r="H399" s="4"/>
    </row>
    <row r="400" spans="4:8" ht="15.75" customHeight="1">
      <c r="D400" s="4"/>
      <c r="H400" s="4"/>
    </row>
    <row r="401" spans="4:8" ht="15.75" customHeight="1">
      <c r="D401" s="4"/>
      <c r="H401" s="4"/>
    </row>
    <row r="402" spans="4:8" ht="15.75" customHeight="1">
      <c r="D402" s="4"/>
      <c r="H402" s="4"/>
    </row>
    <row r="403" spans="4:8" ht="15.75" customHeight="1">
      <c r="D403" s="4"/>
      <c r="H403" s="4"/>
    </row>
    <row r="404" spans="4:8" ht="15.75" customHeight="1">
      <c r="D404" s="4"/>
      <c r="H404" s="4"/>
    </row>
    <row r="405" spans="4:8" ht="15.75" customHeight="1">
      <c r="D405" s="4"/>
      <c r="H405" s="4"/>
    </row>
    <row r="406" spans="4:8" ht="15.75" customHeight="1">
      <c r="D406" s="4"/>
      <c r="H406" s="4"/>
    </row>
    <row r="407" spans="4:8" ht="15.75" customHeight="1">
      <c r="D407" s="4"/>
      <c r="H407" s="4"/>
    </row>
    <row r="408" spans="4:8" ht="15.75" customHeight="1">
      <c r="D408" s="4"/>
      <c r="H408" s="4"/>
    </row>
    <row r="409" spans="4:8" ht="15.75" customHeight="1">
      <c r="D409" s="4"/>
      <c r="H409" s="4"/>
    </row>
    <row r="410" spans="4:8" ht="15.75" customHeight="1">
      <c r="D410" s="4"/>
      <c r="H410" s="4"/>
    </row>
    <row r="411" spans="4:8" ht="15.75" customHeight="1">
      <c r="D411" s="4"/>
      <c r="H411" s="4"/>
    </row>
    <row r="412" spans="4:8" ht="15.75" customHeight="1">
      <c r="D412" s="4"/>
      <c r="H412" s="4"/>
    </row>
    <row r="413" spans="4:8" ht="15.75" customHeight="1">
      <c r="D413" s="4"/>
      <c r="H413" s="4"/>
    </row>
    <row r="414" spans="4:8" ht="15.75" customHeight="1">
      <c r="D414" s="4"/>
      <c r="H414" s="4"/>
    </row>
    <row r="415" spans="4:8" ht="15.75" customHeight="1">
      <c r="D415" s="4"/>
      <c r="H415" s="4"/>
    </row>
    <row r="416" spans="4:8" ht="15.75" customHeight="1">
      <c r="D416" s="4"/>
      <c r="H416" s="4"/>
    </row>
    <row r="417" spans="4:8" ht="15.75" customHeight="1">
      <c r="D417" s="4"/>
      <c r="H417" s="4"/>
    </row>
    <row r="418" spans="4:8" ht="15.75" customHeight="1">
      <c r="D418" s="4"/>
      <c r="H418" s="4"/>
    </row>
    <row r="419" spans="4:8" ht="15.75" customHeight="1">
      <c r="D419" s="4"/>
      <c r="H419" s="4"/>
    </row>
    <row r="420" spans="4:8" ht="15.75" customHeight="1">
      <c r="D420" s="4"/>
      <c r="H420" s="4"/>
    </row>
    <row r="421" spans="4:8" ht="15.75" customHeight="1">
      <c r="D421" s="4"/>
      <c r="H421" s="4"/>
    </row>
    <row r="422" spans="4:8" ht="15.75" customHeight="1">
      <c r="D422" s="4"/>
      <c r="H422" s="4"/>
    </row>
    <row r="423" spans="4:8" ht="15.75" customHeight="1">
      <c r="D423" s="4"/>
      <c r="H423" s="4"/>
    </row>
    <row r="424" spans="4:8" ht="15.75" customHeight="1">
      <c r="D424" s="4"/>
      <c r="H424" s="4"/>
    </row>
    <row r="425" spans="4:8" ht="15.75" customHeight="1">
      <c r="D425" s="4"/>
      <c r="H425" s="4"/>
    </row>
    <row r="426" spans="4:8" ht="15.75" customHeight="1">
      <c r="D426" s="4"/>
      <c r="H426" s="4"/>
    </row>
    <row r="427" spans="4:8" ht="15.75" customHeight="1">
      <c r="D427" s="4"/>
      <c r="H427" s="4"/>
    </row>
    <row r="428" spans="4:8" ht="15.75" customHeight="1">
      <c r="D428" s="4"/>
      <c r="H428" s="4"/>
    </row>
    <row r="429" spans="4:8" ht="15.75" customHeight="1">
      <c r="D429" s="4"/>
      <c r="H429" s="4"/>
    </row>
    <row r="430" spans="4:8" ht="15.75" customHeight="1">
      <c r="D430" s="4"/>
      <c r="H430" s="4"/>
    </row>
    <row r="431" spans="4:8" ht="15.75" customHeight="1">
      <c r="D431" s="4"/>
      <c r="H431" s="4"/>
    </row>
    <row r="432" spans="4:8" ht="15.75" customHeight="1">
      <c r="D432" s="4"/>
      <c r="H432" s="4"/>
    </row>
    <row r="433" spans="4:8" ht="15.75" customHeight="1">
      <c r="D433" s="4"/>
      <c r="H433" s="4"/>
    </row>
    <row r="434" spans="4:8" ht="15.75" customHeight="1">
      <c r="D434" s="4"/>
      <c r="H434" s="4"/>
    </row>
    <row r="435" spans="4:8" ht="15.75" customHeight="1">
      <c r="D435" s="4"/>
      <c r="H435" s="4"/>
    </row>
    <row r="436" spans="4:8" ht="15.75" customHeight="1">
      <c r="D436" s="4"/>
      <c r="H436" s="4"/>
    </row>
    <row r="437" spans="4:8" ht="15.75" customHeight="1">
      <c r="D437" s="4"/>
      <c r="H437" s="4"/>
    </row>
    <row r="438" spans="4:8" ht="15.75" customHeight="1">
      <c r="D438" s="4"/>
      <c r="H438" s="4"/>
    </row>
    <row r="439" spans="4:8" ht="15.75" customHeight="1">
      <c r="D439" s="4"/>
      <c r="H439" s="4"/>
    </row>
    <row r="440" spans="4:8" ht="15.75" customHeight="1">
      <c r="D440" s="4"/>
      <c r="H440" s="4"/>
    </row>
    <row r="441" spans="4:8" ht="15.75" customHeight="1">
      <c r="D441" s="4"/>
      <c r="H441" s="4"/>
    </row>
    <row r="442" spans="4:8" ht="15.75" customHeight="1">
      <c r="D442" s="4"/>
      <c r="H442" s="4"/>
    </row>
    <row r="443" spans="4:8" ht="15.75" customHeight="1">
      <c r="D443" s="4"/>
      <c r="H443" s="4"/>
    </row>
    <row r="444" spans="4:8" ht="15.75" customHeight="1">
      <c r="D444" s="4"/>
      <c r="H444" s="4"/>
    </row>
    <row r="445" spans="4:8" ht="15.75" customHeight="1">
      <c r="D445" s="4"/>
      <c r="H445" s="4"/>
    </row>
    <row r="446" spans="4:8" ht="15.75" customHeight="1">
      <c r="D446" s="4"/>
      <c r="H446" s="4"/>
    </row>
    <row r="447" spans="4:8" ht="15.75" customHeight="1">
      <c r="D447" s="4"/>
      <c r="H447" s="4"/>
    </row>
    <row r="448" spans="4:8" ht="15.75" customHeight="1">
      <c r="D448" s="4"/>
      <c r="H448" s="4"/>
    </row>
    <row r="449" spans="4:8" ht="15.75" customHeight="1">
      <c r="D449" s="4"/>
      <c r="H449" s="4"/>
    </row>
    <row r="450" spans="4:8" ht="15.75" customHeight="1">
      <c r="D450" s="4"/>
      <c r="H450" s="4"/>
    </row>
    <row r="451" spans="4:8" ht="15.75" customHeight="1">
      <c r="D451" s="4"/>
      <c r="H451" s="4"/>
    </row>
    <row r="452" spans="4:8" ht="15.75" customHeight="1">
      <c r="D452" s="4"/>
      <c r="H452" s="4"/>
    </row>
    <row r="453" spans="4:8" ht="15.75" customHeight="1">
      <c r="D453" s="4"/>
      <c r="H453" s="4"/>
    </row>
    <row r="454" spans="4:8" ht="15.75" customHeight="1">
      <c r="D454" s="4"/>
      <c r="H454" s="4"/>
    </row>
    <row r="455" spans="4:8" ht="15.75" customHeight="1">
      <c r="D455" s="4"/>
      <c r="H455" s="4"/>
    </row>
    <row r="456" spans="4:8" ht="15.75" customHeight="1">
      <c r="D456" s="4"/>
      <c r="H456" s="4"/>
    </row>
    <row r="457" spans="4:8" ht="15.75" customHeight="1">
      <c r="D457" s="4"/>
      <c r="H457" s="4"/>
    </row>
    <row r="458" spans="4:8" ht="15.75" customHeight="1">
      <c r="D458" s="4"/>
      <c r="H458" s="4"/>
    </row>
    <row r="459" spans="4:8" ht="15.75" customHeight="1">
      <c r="D459" s="4"/>
      <c r="H459" s="4"/>
    </row>
    <row r="460" spans="4:8" ht="15.75" customHeight="1">
      <c r="D460" s="4"/>
      <c r="H460" s="4"/>
    </row>
    <row r="461" spans="4:8" ht="15.75" customHeight="1">
      <c r="D461" s="4"/>
      <c r="H461" s="4"/>
    </row>
    <row r="462" spans="4:8" ht="15.75" customHeight="1">
      <c r="D462" s="4"/>
      <c r="H462" s="4"/>
    </row>
    <row r="463" spans="4:8" ht="15.75" customHeight="1">
      <c r="D463" s="4"/>
      <c r="H463" s="4"/>
    </row>
    <row r="464" spans="4:8" ht="15.75" customHeight="1">
      <c r="D464" s="4"/>
      <c r="H464" s="4"/>
    </row>
    <row r="465" spans="4:8" ht="15.75" customHeight="1">
      <c r="D465" s="4"/>
      <c r="H465" s="4"/>
    </row>
    <row r="466" spans="4:8" ht="15.75" customHeight="1">
      <c r="D466" s="4"/>
      <c r="H466" s="4"/>
    </row>
    <row r="467" spans="4:8" ht="15.75" customHeight="1">
      <c r="D467" s="4"/>
      <c r="H467" s="4"/>
    </row>
    <row r="468" spans="4:8" ht="15.75" customHeight="1">
      <c r="D468" s="4"/>
      <c r="H468" s="4"/>
    </row>
    <row r="469" spans="4:8" ht="15.75" customHeight="1">
      <c r="D469" s="4"/>
      <c r="H469" s="4"/>
    </row>
    <row r="470" spans="4:8" ht="15.75" customHeight="1">
      <c r="D470" s="4"/>
      <c r="H470" s="4"/>
    </row>
    <row r="471" spans="4:8" ht="15.75" customHeight="1">
      <c r="D471" s="4"/>
      <c r="H471" s="4"/>
    </row>
    <row r="472" spans="4:8" ht="15.75" customHeight="1">
      <c r="D472" s="4"/>
      <c r="H472" s="4"/>
    </row>
    <row r="473" spans="4:8" ht="15.75" customHeight="1">
      <c r="D473" s="4"/>
      <c r="H473" s="4"/>
    </row>
    <row r="474" spans="4:8" ht="15.75" customHeight="1">
      <c r="D474" s="4"/>
      <c r="H474" s="4"/>
    </row>
    <row r="475" spans="4:8" ht="15.75" customHeight="1">
      <c r="D475" s="4"/>
      <c r="H475" s="4"/>
    </row>
    <row r="476" spans="4:8" ht="15.75" customHeight="1">
      <c r="D476" s="4"/>
      <c r="H476" s="4"/>
    </row>
    <row r="477" spans="4:8" ht="15.75" customHeight="1">
      <c r="D477" s="4"/>
      <c r="H477" s="4"/>
    </row>
    <row r="478" spans="4:8" ht="15.75" customHeight="1">
      <c r="D478" s="4"/>
      <c r="H478" s="4"/>
    </row>
    <row r="479" spans="4:8" ht="15.75" customHeight="1">
      <c r="D479" s="4"/>
      <c r="H479" s="4"/>
    </row>
    <row r="480" spans="4:8" ht="15.75" customHeight="1">
      <c r="D480" s="4"/>
      <c r="H480" s="4"/>
    </row>
    <row r="481" spans="4:8" ht="15.75" customHeight="1">
      <c r="D481" s="4"/>
      <c r="H481" s="4"/>
    </row>
    <row r="482" spans="4:8" ht="15.75" customHeight="1">
      <c r="D482" s="4"/>
      <c r="H482" s="4"/>
    </row>
    <row r="483" spans="4:8" ht="15.75" customHeight="1">
      <c r="D483" s="4"/>
      <c r="H483" s="4"/>
    </row>
    <row r="484" spans="4:8" ht="15.75" customHeight="1">
      <c r="D484" s="4"/>
      <c r="H484" s="4"/>
    </row>
    <row r="485" spans="4:8" ht="15.75" customHeight="1">
      <c r="D485" s="4"/>
      <c r="H485" s="4"/>
    </row>
    <row r="486" spans="4:8" ht="15.75" customHeight="1">
      <c r="D486" s="4"/>
      <c r="H486" s="4"/>
    </row>
    <row r="487" spans="4:8" ht="15.75" customHeight="1">
      <c r="D487" s="4"/>
      <c r="H487" s="4"/>
    </row>
    <row r="488" spans="4:8" ht="15.75" customHeight="1">
      <c r="D488" s="4"/>
      <c r="H488" s="4"/>
    </row>
    <row r="489" spans="4:8" ht="15.75" customHeight="1">
      <c r="D489" s="4"/>
      <c r="H489" s="4"/>
    </row>
    <row r="490" spans="4:8" ht="15.75" customHeight="1">
      <c r="D490" s="4"/>
      <c r="H490" s="4"/>
    </row>
    <row r="491" spans="4:8" ht="15.75" customHeight="1">
      <c r="D491" s="4"/>
      <c r="H491" s="4"/>
    </row>
    <row r="492" spans="4:8" ht="15.75" customHeight="1">
      <c r="D492" s="4"/>
      <c r="H492" s="4"/>
    </row>
    <row r="493" spans="4:8" ht="15.75" customHeight="1">
      <c r="D493" s="4"/>
      <c r="H493" s="4"/>
    </row>
    <row r="494" spans="4:8" ht="15.75" customHeight="1">
      <c r="D494" s="4"/>
      <c r="H494" s="4"/>
    </row>
    <row r="495" spans="4:8" ht="15.75" customHeight="1">
      <c r="D495" s="4"/>
      <c r="H495" s="4"/>
    </row>
    <row r="496" spans="4:8" ht="15.75" customHeight="1">
      <c r="D496" s="4"/>
      <c r="H496" s="4"/>
    </row>
    <row r="497" spans="4:8" ht="15.75" customHeight="1">
      <c r="D497" s="4"/>
      <c r="H497" s="4"/>
    </row>
    <row r="498" spans="4:8" ht="15.75" customHeight="1">
      <c r="D498" s="4"/>
      <c r="H498" s="4"/>
    </row>
    <row r="499" spans="4:8" ht="15.75" customHeight="1">
      <c r="D499" s="4"/>
      <c r="H499" s="4"/>
    </row>
    <row r="500" spans="4:8" ht="15.75" customHeight="1">
      <c r="D500" s="4"/>
      <c r="H500" s="4"/>
    </row>
    <row r="501" spans="4:8" ht="15.75" customHeight="1">
      <c r="D501" s="4"/>
      <c r="H501" s="4"/>
    </row>
    <row r="502" spans="4:8" ht="15.75" customHeight="1">
      <c r="D502" s="4"/>
      <c r="H502" s="4"/>
    </row>
    <row r="503" spans="4:8" ht="15.75" customHeight="1">
      <c r="D503" s="4"/>
      <c r="H503" s="4"/>
    </row>
    <row r="504" spans="4:8" ht="15.75" customHeight="1">
      <c r="D504" s="4"/>
      <c r="H504" s="4"/>
    </row>
    <row r="505" spans="4:8" ht="15.75" customHeight="1">
      <c r="D505" s="4"/>
      <c r="H505" s="4"/>
    </row>
    <row r="506" spans="4:8" ht="15.75" customHeight="1">
      <c r="D506" s="4"/>
      <c r="H506" s="4"/>
    </row>
    <row r="507" spans="4:8" ht="15.75" customHeight="1">
      <c r="D507" s="4"/>
      <c r="H507" s="4"/>
    </row>
    <row r="508" spans="4:8" ht="15.75" customHeight="1">
      <c r="D508" s="4"/>
      <c r="H508" s="4"/>
    </row>
    <row r="509" spans="4:8" ht="15.75" customHeight="1">
      <c r="D509" s="4"/>
      <c r="H509" s="4"/>
    </row>
    <row r="510" spans="4:8" ht="15.75" customHeight="1">
      <c r="D510" s="4"/>
      <c r="H510" s="4"/>
    </row>
    <row r="511" spans="4:8" ht="15.75" customHeight="1">
      <c r="D511" s="4"/>
      <c r="H511" s="4"/>
    </row>
    <row r="512" spans="4:8" ht="15.75" customHeight="1">
      <c r="D512" s="4"/>
      <c r="H512" s="4"/>
    </row>
    <row r="513" spans="4:8" ht="15.75" customHeight="1">
      <c r="D513" s="4"/>
      <c r="H513" s="4"/>
    </row>
    <row r="514" spans="4:8" ht="15.75" customHeight="1">
      <c r="D514" s="4"/>
      <c r="H514" s="4"/>
    </row>
    <row r="515" spans="4:8" ht="15.75" customHeight="1">
      <c r="D515" s="4"/>
      <c r="H515" s="4"/>
    </row>
    <row r="516" spans="4:8" ht="15.75" customHeight="1">
      <c r="D516" s="4"/>
      <c r="H516" s="4"/>
    </row>
    <row r="517" spans="4:8" ht="15.75" customHeight="1">
      <c r="D517" s="4"/>
      <c r="H517" s="4"/>
    </row>
    <row r="518" spans="4:8" ht="15.75" customHeight="1">
      <c r="D518" s="4"/>
      <c r="H518" s="4"/>
    </row>
    <row r="519" spans="4:8" ht="15.75" customHeight="1">
      <c r="D519" s="4"/>
      <c r="H519" s="4"/>
    </row>
    <row r="520" spans="4:8" ht="15.75" customHeight="1">
      <c r="D520" s="4"/>
      <c r="H520" s="4"/>
    </row>
    <row r="521" spans="4:8" ht="15.75" customHeight="1">
      <c r="D521" s="4"/>
      <c r="H521" s="4"/>
    </row>
    <row r="522" spans="4:8" ht="15.75" customHeight="1">
      <c r="D522" s="4"/>
      <c r="H522" s="4"/>
    </row>
    <row r="523" spans="4:8" ht="15.75" customHeight="1">
      <c r="D523" s="4"/>
      <c r="H523" s="4"/>
    </row>
    <row r="524" spans="4:8" ht="15.75" customHeight="1">
      <c r="D524" s="4"/>
      <c r="H524" s="4"/>
    </row>
    <row r="525" spans="4:8" ht="15.75" customHeight="1">
      <c r="D525" s="4"/>
      <c r="H525" s="4"/>
    </row>
    <row r="526" spans="4:8" ht="15.75" customHeight="1">
      <c r="D526" s="4"/>
      <c r="H526" s="4"/>
    </row>
    <row r="527" spans="4:8" ht="15.75" customHeight="1">
      <c r="D527" s="4"/>
      <c r="H527" s="4"/>
    </row>
    <row r="528" spans="4:8" ht="15.75" customHeight="1">
      <c r="D528" s="4"/>
      <c r="H528" s="4"/>
    </row>
    <row r="529" spans="4:8" ht="15.75" customHeight="1">
      <c r="D529" s="4"/>
      <c r="H529" s="4"/>
    </row>
    <row r="530" spans="4:8" ht="15.75" customHeight="1">
      <c r="D530" s="4"/>
      <c r="H530" s="4"/>
    </row>
    <row r="531" spans="4:8" ht="15.75" customHeight="1">
      <c r="D531" s="4"/>
      <c r="H531" s="4"/>
    </row>
    <row r="532" spans="4:8" ht="15.75" customHeight="1">
      <c r="D532" s="4"/>
      <c r="H532" s="4"/>
    </row>
    <row r="533" spans="4:8" ht="15.75" customHeight="1">
      <c r="D533" s="4"/>
      <c r="H533" s="4"/>
    </row>
    <row r="534" spans="4:8" ht="15.75" customHeight="1">
      <c r="D534" s="4"/>
      <c r="H534" s="4"/>
    </row>
    <row r="535" spans="4:8" ht="15.75" customHeight="1">
      <c r="D535" s="4"/>
      <c r="H535" s="4"/>
    </row>
    <row r="536" spans="4:8" ht="15.75" customHeight="1">
      <c r="D536" s="4"/>
      <c r="H536" s="4"/>
    </row>
    <row r="537" spans="4:8" ht="15.75" customHeight="1">
      <c r="D537" s="4"/>
      <c r="H537" s="4"/>
    </row>
    <row r="538" spans="4:8" ht="15.75" customHeight="1">
      <c r="D538" s="4"/>
      <c r="H538" s="4"/>
    </row>
    <row r="539" spans="4:8" ht="15.75" customHeight="1">
      <c r="D539" s="4"/>
      <c r="H539" s="4"/>
    </row>
    <row r="540" spans="4:8" ht="15.75" customHeight="1">
      <c r="D540" s="4"/>
      <c r="H540" s="4"/>
    </row>
    <row r="541" spans="4:8" ht="15.75" customHeight="1">
      <c r="D541" s="4"/>
      <c r="H541" s="4"/>
    </row>
    <row r="542" spans="4:8" ht="15.75" customHeight="1">
      <c r="D542" s="4"/>
      <c r="H542" s="4"/>
    </row>
    <row r="543" spans="4:8" ht="15.75" customHeight="1">
      <c r="D543" s="4"/>
      <c r="H543" s="4"/>
    </row>
    <row r="544" spans="4:8" ht="15.75" customHeight="1">
      <c r="D544" s="4"/>
      <c r="H544" s="4"/>
    </row>
    <row r="545" spans="4:8" ht="15.75" customHeight="1">
      <c r="D545" s="4"/>
      <c r="H545" s="4"/>
    </row>
    <row r="546" spans="4:8" ht="15.75" customHeight="1">
      <c r="D546" s="4"/>
      <c r="H546" s="4"/>
    </row>
    <row r="547" spans="4:8" ht="15.75" customHeight="1">
      <c r="D547" s="4"/>
      <c r="H547" s="4"/>
    </row>
    <row r="548" spans="4:8" ht="15.75" customHeight="1">
      <c r="D548" s="4"/>
      <c r="H548" s="4"/>
    </row>
    <row r="549" spans="4:8" ht="15.75" customHeight="1">
      <c r="D549" s="4"/>
      <c r="H549" s="4"/>
    </row>
    <row r="550" spans="4:8" ht="15.75" customHeight="1">
      <c r="D550" s="4"/>
      <c r="H550" s="4"/>
    </row>
    <row r="551" spans="4:8" ht="15.75" customHeight="1">
      <c r="D551" s="4"/>
      <c r="H551" s="4"/>
    </row>
    <row r="552" spans="4:8" ht="15.75" customHeight="1">
      <c r="D552" s="4"/>
      <c r="H552" s="4"/>
    </row>
    <row r="553" spans="4:8" ht="15.75" customHeight="1">
      <c r="D553" s="4"/>
      <c r="H553" s="4"/>
    </row>
    <row r="554" spans="4:8" ht="15.75" customHeight="1">
      <c r="D554" s="4"/>
      <c r="H554" s="4"/>
    </row>
    <row r="555" spans="4:8" ht="15.75" customHeight="1">
      <c r="D555" s="4"/>
      <c r="H555" s="4"/>
    </row>
    <row r="556" spans="4:8" ht="15.75" customHeight="1">
      <c r="D556" s="4"/>
      <c r="H556" s="4"/>
    </row>
    <row r="557" spans="4:8" ht="15.75" customHeight="1">
      <c r="D557" s="4"/>
      <c r="H557" s="4"/>
    </row>
    <row r="558" spans="4:8" ht="15.75" customHeight="1">
      <c r="D558" s="4"/>
      <c r="H558" s="4"/>
    </row>
    <row r="559" spans="4:8" ht="15.75" customHeight="1">
      <c r="D559" s="4"/>
      <c r="H559" s="4"/>
    </row>
    <row r="560" spans="4:8" ht="15.75" customHeight="1">
      <c r="D560" s="4"/>
      <c r="H560" s="4"/>
    </row>
    <row r="561" spans="4:8" ht="15.75" customHeight="1">
      <c r="D561" s="4"/>
      <c r="H561" s="4"/>
    </row>
    <row r="562" spans="4:8" ht="15.75" customHeight="1">
      <c r="D562" s="4"/>
      <c r="H562" s="4"/>
    </row>
    <row r="563" spans="4:8" ht="15.75" customHeight="1">
      <c r="D563" s="4"/>
      <c r="H563" s="4"/>
    </row>
    <row r="564" spans="4:8" ht="15.75" customHeight="1">
      <c r="D564" s="4"/>
      <c r="H564" s="4"/>
    </row>
    <row r="565" spans="4:8" ht="15.75" customHeight="1">
      <c r="D565" s="4"/>
      <c r="H565" s="4"/>
    </row>
    <row r="566" spans="4:8" ht="15.75" customHeight="1">
      <c r="D566" s="4"/>
      <c r="H566" s="4"/>
    </row>
    <row r="567" spans="4:8" ht="15.75" customHeight="1">
      <c r="D567" s="4"/>
      <c r="H567" s="4"/>
    </row>
    <row r="568" spans="4:8" ht="15.75" customHeight="1">
      <c r="D568" s="4"/>
      <c r="H568" s="4"/>
    </row>
    <row r="569" spans="4:8" ht="15.75" customHeight="1">
      <c r="D569" s="4"/>
      <c r="H569" s="4"/>
    </row>
    <row r="570" spans="4:8" ht="15.75" customHeight="1">
      <c r="D570" s="4"/>
      <c r="H570" s="4"/>
    </row>
    <row r="571" spans="4:8" ht="15.75" customHeight="1">
      <c r="D571" s="4"/>
      <c r="H571" s="4"/>
    </row>
    <row r="572" spans="4:8" ht="15.75" customHeight="1">
      <c r="D572" s="4"/>
      <c r="H572" s="4"/>
    </row>
    <row r="573" spans="4:8" ht="15.75" customHeight="1">
      <c r="D573" s="4"/>
      <c r="H573" s="4"/>
    </row>
    <row r="574" spans="4:8" ht="15.75" customHeight="1">
      <c r="D574" s="4"/>
      <c r="H574" s="4"/>
    </row>
    <row r="575" spans="4:8" ht="15.75" customHeight="1">
      <c r="D575" s="4"/>
      <c r="H575" s="4"/>
    </row>
    <row r="576" spans="4:8" ht="15.75" customHeight="1">
      <c r="D576" s="4"/>
      <c r="H576" s="4"/>
    </row>
    <row r="577" spans="4:8" ht="15.75" customHeight="1">
      <c r="D577" s="4"/>
      <c r="H577" s="4"/>
    </row>
    <row r="578" spans="4:8" ht="15.75" customHeight="1">
      <c r="D578" s="4"/>
      <c r="H578" s="4"/>
    </row>
    <row r="579" spans="4:8" ht="15.75" customHeight="1">
      <c r="D579" s="4"/>
      <c r="H579" s="4"/>
    </row>
    <row r="580" spans="4:8" ht="15.75" customHeight="1">
      <c r="D580" s="4"/>
      <c r="H580" s="4"/>
    </row>
    <row r="581" spans="4:8" ht="15.75" customHeight="1">
      <c r="D581" s="4"/>
      <c r="H581" s="4"/>
    </row>
    <row r="582" spans="4:8" ht="15.75" customHeight="1">
      <c r="D582" s="4"/>
      <c r="H582" s="4"/>
    </row>
    <row r="583" spans="4:8" ht="15.75" customHeight="1">
      <c r="D583" s="4"/>
      <c r="H583" s="4"/>
    </row>
    <row r="584" spans="4:8" ht="15.75" customHeight="1">
      <c r="D584" s="4"/>
      <c r="H584" s="4"/>
    </row>
    <row r="585" spans="4:8" ht="15.75" customHeight="1">
      <c r="D585" s="4"/>
      <c r="H585" s="4"/>
    </row>
    <row r="586" spans="4:8" ht="15.75" customHeight="1">
      <c r="D586" s="4"/>
      <c r="H586" s="4"/>
    </row>
    <row r="587" spans="4:8" ht="15.75" customHeight="1">
      <c r="D587" s="4"/>
      <c r="H587" s="4"/>
    </row>
    <row r="588" spans="4:8" ht="15.75" customHeight="1">
      <c r="D588" s="4"/>
      <c r="H588" s="4"/>
    </row>
    <row r="589" spans="4:8" ht="15.75" customHeight="1">
      <c r="D589" s="4"/>
      <c r="H589" s="4"/>
    </row>
    <row r="590" spans="4:8" ht="15.75" customHeight="1">
      <c r="D590" s="4"/>
      <c r="H590" s="4"/>
    </row>
    <row r="591" spans="4:8" ht="15.75" customHeight="1">
      <c r="D591" s="4"/>
      <c r="H591" s="4"/>
    </row>
    <row r="592" spans="4:8" ht="15.75" customHeight="1">
      <c r="D592" s="4"/>
      <c r="H592" s="4"/>
    </row>
    <row r="593" spans="4:8" ht="15.75" customHeight="1">
      <c r="D593" s="4"/>
      <c r="H593" s="4"/>
    </row>
    <row r="594" spans="4:8" ht="15.75" customHeight="1">
      <c r="D594" s="4"/>
      <c r="H594" s="4"/>
    </row>
    <row r="595" spans="4:8" ht="15.75" customHeight="1">
      <c r="D595" s="4"/>
      <c r="H595" s="4"/>
    </row>
    <row r="596" spans="4:8" ht="15.75" customHeight="1">
      <c r="D596" s="4"/>
      <c r="H596" s="4"/>
    </row>
    <row r="597" spans="4:8" ht="15.75" customHeight="1">
      <c r="D597" s="4"/>
      <c r="H597" s="4"/>
    </row>
    <row r="598" spans="4:8" ht="15.75" customHeight="1">
      <c r="D598" s="4"/>
      <c r="H598" s="4"/>
    </row>
    <row r="599" spans="4:8" ht="15.75" customHeight="1">
      <c r="D599" s="4"/>
      <c r="H599" s="4"/>
    </row>
    <row r="600" spans="4:8" ht="15.75" customHeight="1">
      <c r="D600" s="4"/>
      <c r="H600" s="4"/>
    </row>
    <row r="601" spans="4:8" ht="15.75" customHeight="1">
      <c r="D601" s="4"/>
      <c r="H601" s="4"/>
    </row>
    <row r="602" spans="4:8" ht="15.75" customHeight="1">
      <c r="D602" s="4"/>
      <c r="H602" s="4"/>
    </row>
    <row r="603" spans="4:8" ht="15.75" customHeight="1">
      <c r="D603" s="4"/>
      <c r="H603" s="4"/>
    </row>
    <row r="604" spans="4:8" ht="15.75" customHeight="1">
      <c r="D604" s="4"/>
      <c r="H604" s="4"/>
    </row>
    <row r="605" spans="4:8" ht="15.75" customHeight="1">
      <c r="D605" s="4"/>
      <c r="H605" s="4"/>
    </row>
    <row r="606" spans="4:8" ht="15.75" customHeight="1">
      <c r="D606" s="4"/>
      <c r="H606" s="4"/>
    </row>
    <row r="607" spans="4:8" ht="15.75" customHeight="1">
      <c r="D607" s="4"/>
      <c r="H607" s="4"/>
    </row>
    <row r="608" spans="4:8" ht="15.75" customHeight="1">
      <c r="D608" s="4"/>
      <c r="H608" s="4"/>
    </row>
    <row r="609" spans="4:8" ht="15.75" customHeight="1">
      <c r="D609" s="4"/>
      <c r="H609" s="4"/>
    </row>
    <row r="610" spans="4:8" ht="15.75" customHeight="1">
      <c r="D610" s="4"/>
      <c r="H610" s="4"/>
    </row>
    <row r="611" spans="4:8" ht="15.75" customHeight="1">
      <c r="D611" s="4"/>
      <c r="H611" s="4"/>
    </row>
    <row r="612" spans="4:8" ht="15.75" customHeight="1">
      <c r="D612" s="4"/>
      <c r="H612" s="4"/>
    </row>
    <row r="613" spans="4:8" ht="15.75" customHeight="1">
      <c r="D613" s="4"/>
      <c r="H613" s="4"/>
    </row>
    <row r="614" spans="4:8" ht="15.75" customHeight="1">
      <c r="D614" s="4"/>
      <c r="H614" s="4"/>
    </row>
    <row r="615" spans="4:8" ht="15.75" customHeight="1">
      <c r="D615" s="4"/>
      <c r="H615" s="4"/>
    </row>
    <row r="616" spans="4:8" ht="15.75" customHeight="1">
      <c r="D616" s="4"/>
      <c r="H616" s="4"/>
    </row>
    <row r="617" spans="4:8" ht="15.75" customHeight="1">
      <c r="D617" s="4"/>
      <c r="H617" s="4"/>
    </row>
    <row r="618" spans="4:8" ht="15.75" customHeight="1">
      <c r="D618" s="4"/>
      <c r="H618" s="4"/>
    </row>
    <row r="619" spans="4:8" ht="15.75" customHeight="1">
      <c r="D619" s="4"/>
      <c r="H619" s="4"/>
    </row>
    <row r="620" spans="4:8" ht="15.75" customHeight="1">
      <c r="D620" s="4"/>
      <c r="H620" s="4"/>
    </row>
    <row r="621" spans="4:8" ht="15.75" customHeight="1">
      <c r="D621" s="4"/>
      <c r="H621" s="4"/>
    </row>
    <row r="622" spans="4:8" ht="15.75" customHeight="1">
      <c r="D622" s="4"/>
      <c r="H622" s="4"/>
    </row>
    <row r="623" spans="4:8" ht="15.75" customHeight="1">
      <c r="D623" s="4"/>
      <c r="H623" s="4"/>
    </row>
    <row r="624" spans="4:8" ht="15.75" customHeight="1">
      <c r="D624" s="4"/>
      <c r="H624" s="4"/>
    </row>
    <row r="625" spans="4:8" ht="15.75" customHeight="1">
      <c r="D625" s="4"/>
      <c r="H625" s="4"/>
    </row>
    <row r="626" spans="4:8" ht="15.75" customHeight="1">
      <c r="D626" s="4"/>
      <c r="H626" s="4"/>
    </row>
    <row r="627" spans="4:8" ht="15.75" customHeight="1">
      <c r="D627" s="4"/>
      <c r="H627" s="4"/>
    </row>
    <row r="628" spans="4:8" ht="15.75" customHeight="1">
      <c r="D628" s="4"/>
      <c r="H628" s="4"/>
    </row>
    <row r="629" spans="4:8" ht="15.75" customHeight="1">
      <c r="D629" s="4"/>
      <c r="H629" s="4"/>
    </row>
    <row r="630" spans="4:8" ht="15.75" customHeight="1">
      <c r="D630" s="4"/>
      <c r="H630" s="4"/>
    </row>
    <row r="631" spans="4:8" ht="15.75" customHeight="1">
      <c r="D631" s="4"/>
      <c r="H631" s="4"/>
    </row>
    <row r="632" spans="4:8" ht="15.75" customHeight="1">
      <c r="D632" s="4"/>
      <c r="H632" s="4"/>
    </row>
    <row r="633" spans="4:8" ht="15.75" customHeight="1">
      <c r="D633" s="4"/>
      <c r="H633" s="4"/>
    </row>
    <row r="634" spans="4:8" ht="15.75" customHeight="1">
      <c r="D634" s="4"/>
      <c r="H634" s="4"/>
    </row>
    <row r="635" spans="4:8" ht="15.75" customHeight="1">
      <c r="D635" s="4"/>
      <c r="H635" s="4"/>
    </row>
    <row r="636" spans="4:8" ht="15.75" customHeight="1">
      <c r="D636" s="4"/>
      <c r="H636" s="4"/>
    </row>
    <row r="637" spans="4:8" ht="15.75" customHeight="1">
      <c r="D637" s="4"/>
      <c r="H637" s="4"/>
    </row>
    <row r="638" spans="4:8" ht="15.75" customHeight="1">
      <c r="D638" s="4"/>
      <c r="H638" s="4"/>
    </row>
    <row r="639" spans="4:8" ht="15.75" customHeight="1">
      <c r="D639" s="4"/>
      <c r="H639" s="4"/>
    </row>
    <row r="640" spans="4:8" ht="15.75" customHeight="1">
      <c r="D640" s="4"/>
      <c r="H640" s="4"/>
    </row>
    <row r="641" spans="4:8" ht="15.75" customHeight="1">
      <c r="D641" s="4"/>
      <c r="H641" s="4"/>
    </row>
    <row r="642" spans="4:8" ht="15.75" customHeight="1">
      <c r="D642" s="4"/>
      <c r="H642" s="4"/>
    </row>
    <row r="643" spans="4:8" ht="15.75" customHeight="1">
      <c r="D643" s="4"/>
      <c r="H643" s="4"/>
    </row>
    <row r="644" spans="4:8" ht="15.75" customHeight="1">
      <c r="D644" s="4"/>
      <c r="H644" s="4"/>
    </row>
    <row r="645" spans="4:8" ht="15.75" customHeight="1">
      <c r="D645" s="4"/>
      <c r="H645" s="4"/>
    </row>
    <row r="646" spans="4:8" ht="15.75" customHeight="1">
      <c r="D646" s="4"/>
      <c r="H646" s="4"/>
    </row>
    <row r="647" spans="4:8" ht="15.75" customHeight="1">
      <c r="D647" s="4"/>
      <c r="H647" s="4"/>
    </row>
    <row r="648" spans="4:8" ht="15.75" customHeight="1">
      <c r="D648" s="4"/>
      <c r="H648" s="4"/>
    </row>
    <row r="649" spans="4:8" ht="15.75" customHeight="1">
      <c r="D649" s="4"/>
      <c r="H649" s="4"/>
    </row>
    <row r="650" spans="4:8" ht="15.75" customHeight="1">
      <c r="D650" s="4"/>
      <c r="H650" s="4"/>
    </row>
    <row r="651" spans="4:8" ht="15.75" customHeight="1">
      <c r="D651" s="4"/>
      <c r="H651" s="4"/>
    </row>
    <row r="652" spans="4:8" ht="15.75" customHeight="1">
      <c r="D652" s="4"/>
      <c r="H652" s="4"/>
    </row>
    <row r="653" spans="4:8" ht="15.75" customHeight="1">
      <c r="D653" s="4"/>
      <c r="H653" s="4"/>
    </row>
    <row r="654" spans="4:8" ht="15.75" customHeight="1">
      <c r="D654" s="4"/>
      <c r="H654" s="4"/>
    </row>
    <row r="655" spans="4:8" ht="15.75" customHeight="1">
      <c r="D655" s="4"/>
      <c r="H655" s="4"/>
    </row>
    <row r="656" spans="4:8" ht="15.75" customHeight="1">
      <c r="D656" s="4"/>
      <c r="H656" s="4"/>
    </row>
    <row r="657" spans="4:8" ht="15.75" customHeight="1">
      <c r="D657" s="4"/>
      <c r="H657" s="4"/>
    </row>
    <row r="658" spans="4:8" ht="15.75" customHeight="1">
      <c r="D658" s="4"/>
      <c r="H658" s="4"/>
    </row>
    <row r="659" spans="4:8" ht="15.75" customHeight="1">
      <c r="D659" s="4"/>
      <c r="H659" s="4"/>
    </row>
    <row r="660" spans="4:8" ht="15.75" customHeight="1">
      <c r="D660" s="4"/>
      <c r="H660" s="4"/>
    </row>
    <row r="661" spans="4:8" ht="15.75" customHeight="1">
      <c r="D661" s="4"/>
      <c r="H661" s="4"/>
    </row>
    <row r="662" spans="4:8" ht="15.75" customHeight="1">
      <c r="D662" s="4"/>
      <c r="H662" s="4"/>
    </row>
    <row r="663" spans="4:8" ht="15.75" customHeight="1">
      <c r="D663" s="4"/>
      <c r="H663" s="4"/>
    </row>
    <row r="664" spans="4:8" ht="15.75" customHeight="1">
      <c r="D664" s="4"/>
      <c r="H664" s="4"/>
    </row>
    <row r="665" spans="4:8" ht="15.75" customHeight="1">
      <c r="D665" s="4"/>
      <c r="H665" s="4"/>
    </row>
    <row r="666" spans="4:8" ht="15.75" customHeight="1">
      <c r="D666" s="4"/>
      <c r="H666" s="4"/>
    </row>
    <row r="667" spans="4:8" ht="15.75" customHeight="1">
      <c r="D667" s="4"/>
      <c r="H667" s="4"/>
    </row>
    <row r="668" spans="4:8" ht="15.75" customHeight="1">
      <c r="D668" s="4"/>
      <c r="H668" s="4"/>
    </row>
    <row r="669" spans="4:8" ht="15.75" customHeight="1">
      <c r="D669" s="4"/>
      <c r="H669" s="4"/>
    </row>
    <row r="670" spans="4:8" ht="15.75" customHeight="1">
      <c r="D670" s="4"/>
      <c r="H670" s="4"/>
    </row>
    <row r="671" spans="4:8" ht="15.75" customHeight="1">
      <c r="D671" s="4"/>
      <c r="H671" s="4"/>
    </row>
    <row r="672" spans="4:8" ht="15.75" customHeight="1">
      <c r="D672" s="4"/>
      <c r="H672" s="4"/>
    </row>
    <row r="673" spans="4:8" ht="15.75" customHeight="1">
      <c r="D673" s="4"/>
      <c r="H673" s="4"/>
    </row>
    <row r="674" spans="4:8" ht="15.75" customHeight="1">
      <c r="D674" s="4"/>
      <c r="H674" s="4"/>
    </row>
    <row r="675" spans="4:8" ht="15.75" customHeight="1">
      <c r="D675" s="4"/>
      <c r="H675" s="4"/>
    </row>
    <row r="676" spans="4:8" ht="15.75" customHeight="1">
      <c r="D676" s="4"/>
      <c r="H676" s="4"/>
    </row>
    <row r="677" spans="4:8" ht="15.75" customHeight="1">
      <c r="D677" s="4"/>
      <c r="H677" s="4"/>
    </row>
    <row r="678" spans="4:8" ht="15.75" customHeight="1">
      <c r="D678" s="4"/>
      <c r="H678" s="4"/>
    </row>
    <row r="679" spans="4:8" ht="15.75" customHeight="1">
      <c r="D679" s="4"/>
      <c r="H679" s="4"/>
    </row>
    <row r="680" spans="4:8" ht="15.75" customHeight="1">
      <c r="D680" s="4"/>
      <c r="H680" s="4"/>
    </row>
    <row r="681" spans="4:8" ht="15.75" customHeight="1">
      <c r="D681" s="4"/>
      <c r="H681" s="4"/>
    </row>
    <row r="682" spans="4:8" ht="15.75" customHeight="1">
      <c r="D682" s="4"/>
      <c r="H682" s="4"/>
    </row>
    <row r="683" spans="4:8" ht="15.75" customHeight="1">
      <c r="D683" s="4"/>
      <c r="H683" s="4"/>
    </row>
    <row r="684" spans="4:8" ht="15.75" customHeight="1">
      <c r="D684" s="4"/>
      <c r="H684" s="4"/>
    </row>
    <row r="685" spans="4:8" ht="15.75" customHeight="1">
      <c r="D685" s="4"/>
      <c r="H685" s="4"/>
    </row>
    <row r="686" spans="4:8" ht="15.75" customHeight="1">
      <c r="D686" s="4"/>
      <c r="H686" s="4"/>
    </row>
    <row r="687" spans="4:8" ht="15.75" customHeight="1">
      <c r="D687" s="4"/>
      <c r="H687" s="4"/>
    </row>
    <row r="688" spans="4:8" ht="15.75" customHeight="1">
      <c r="D688" s="4"/>
      <c r="H688" s="4"/>
    </row>
    <row r="689" spans="4:8" ht="15.75" customHeight="1">
      <c r="D689" s="4"/>
      <c r="H689" s="4"/>
    </row>
    <row r="690" spans="4:8" ht="15.75" customHeight="1">
      <c r="D690" s="4"/>
      <c r="H690" s="4"/>
    </row>
    <row r="691" spans="4:8" ht="15.75" customHeight="1">
      <c r="D691" s="4"/>
      <c r="H691" s="4"/>
    </row>
    <row r="692" spans="4:8" ht="15.75" customHeight="1">
      <c r="D692" s="4"/>
      <c r="H692" s="4"/>
    </row>
    <row r="693" spans="4:8" ht="15.75" customHeight="1">
      <c r="D693" s="4"/>
      <c r="H693" s="4"/>
    </row>
    <row r="694" spans="4:8" ht="15.75" customHeight="1">
      <c r="D694" s="4"/>
      <c r="H694" s="4"/>
    </row>
    <row r="695" spans="4:8" ht="15.75" customHeight="1">
      <c r="D695" s="4"/>
      <c r="H695" s="4"/>
    </row>
    <row r="696" spans="4:8" ht="15.75" customHeight="1">
      <c r="D696" s="4"/>
      <c r="H696" s="4"/>
    </row>
    <row r="697" spans="4:8" ht="15.75" customHeight="1">
      <c r="D697" s="4"/>
      <c r="H697" s="4"/>
    </row>
    <row r="698" spans="4:8" ht="15.75" customHeight="1">
      <c r="D698" s="4"/>
      <c r="H698" s="4"/>
    </row>
    <row r="699" spans="4:8" ht="15.75" customHeight="1">
      <c r="D699" s="4"/>
      <c r="H699" s="4"/>
    </row>
    <row r="700" spans="4:8" ht="15.75" customHeight="1">
      <c r="D700" s="4"/>
      <c r="H700" s="4"/>
    </row>
    <row r="701" spans="4:8" ht="15.75" customHeight="1">
      <c r="D701" s="4"/>
      <c r="H701" s="4"/>
    </row>
    <row r="702" spans="4:8" ht="15.75" customHeight="1">
      <c r="D702" s="4"/>
      <c r="H702" s="4"/>
    </row>
    <row r="703" spans="4:8" ht="15.75" customHeight="1">
      <c r="D703" s="4"/>
      <c r="H703" s="4"/>
    </row>
    <row r="704" spans="4:8" ht="15.75" customHeight="1">
      <c r="D704" s="4"/>
      <c r="H704" s="4"/>
    </row>
    <row r="705" spans="4:8" ht="15.75" customHeight="1">
      <c r="D705" s="4"/>
      <c r="H705" s="4"/>
    </row>
    <row r="706" spans="4:8" ht="15.75" customHeight="1">
      <c r="D706" s="4"/>
      <c r="H706" s="4"/>
    </row>
    <row r="707" spans="4:8" ht="15.75" customHeight="1">
      <c r="D707" s="4"/>
      <c r="H707" s="4"/>
    </row>
    <row r="708" spans="4:8" ht="15.75" customHeight="1">
      <c r="D708" s="4"/>
      <c r="H708" s="4"/>
    </row>
    <row r="709" spans="4:8" ht="15.75" customHeight="1">
      <c r="D709" s="4"/>
      <c r="H709" s="4"/>
    </row>
    <row r="710" spans="4:8" ht="15.75" customHeight="1">
      <c r="D710" s="4"/>
      <c r="H710" s="4"/>
    </row>
    <row r="711" spans="4:8" ht="15.75" customHeight="1">
      <c r="D711" s="4"/>
      <c r="H711" s="4"/>
    </row>
    <row r="712" spans="4:8" ht="15.75" customHeight="1">
      <c r="D712" s="4"/>
      <c r="H712" s="4"/>
    </row>
    <row r="713" spans="4:8" ht="15.75" customHeight="1">
      <c r="D713" s="4"/>
      <c r="H713" s="4"/>
    </row>
    <row r="714" spans="4:8" ht="15.75" customHeight="1">
      <c r="D714" s="4"/>
      <c r="H714" s="4"/>
    </row>
    <row r="715" spans="4:8" ht="15.75" customHeight="1">
      <c r="D715" s="4"/>
      <c r="H715" s="4"/>
    </row>
    <row r="716" spans="4:8" ht="15.75" customHeight="1">
      <c r="D716" s="4"/>
      <c r="H716" s="4"/>
    </row>
    <row r="717" spans="4:8" ht="15.75" customHeight="1">
      <c r="D717" s="4"/>
      <c r="H717" s="4"/>
    </row>
    <row r="718" spans="4:8" ht="15.75" customHeight="1">
      <c r="D718" s="4"/>
      <c r="H718" s="4"/>
    </row>
    <row r="719" spans="4:8" ht="15.75" customHeight="1">
      <c r="D719" s="4"/>
      <c r="H719" s="4"/>
    </row>
    <row r="720" spans="4:8" ht="15.75" customHeight="1">
      <c r="D720" s="4"/>
      <c r="H720" s="4"/>
    </row>
    <row r="721" spans="4:8" ht="15.75" customHeight="1">
      <c r="D721" s="4"/>
      <c r="H721" s="4"/>
    </row>
    <row r="722" spans="4:8" ht="15.75" customHeight="1">
      <c r="D722" s="4"/>
      <c r="H722" s="4"/>
    </row>
    <row r="723" spans="4:8" ht="15.75" customHeight="1">
      <c r="D723" s="4"/>
      <c r="H723" s="4"/>
    </row>
    <row r="724" spans="4:8" ht="15.75" customHeight="1">
      <c r="D724" s="4"/>
      <c r="H724" s="4"/>
    </row>
    <row r="725" spans="4:8" ht="15.75" customHeight="1">
      <c r="D725" s="4"/>
      <c r="H725" s="4"/>
    </row>
    <row r="726" spans="4:8" ht="15.75" customHeight="1">
      <c r="D726" s="4"/>
      <c r="H726" s="4"/>
    </row>
    <row r="727" spans="4:8" ht="15.75" customHeight="1">
      <c r="D727" s="4"/>
      <c r="H727" s="4"/>
    </row>
    <row r="728" spans="4:8" ht="15.75" customHeight="1">
      <c r="D728" s="4"/>
      <c r="H728" s="4"/>
    </row>
    <row r="729" spans="4:8" ht="15.75" customHeight="1">
      <c r="D729" s="4"/>
      <c r="H729" s="4"/>
    </row>
    <row r="730" spans="4:8" ht="15.75" customHeight="1">
      <c r="D730" s="4"/>
      <c r="H730" s="4"/>
    </row>
    <row r="731" spans="4:8" ht="15.75" customHeight="1">
      <c r="D731" s="4"/>
      <c r="H731" s="4"/>
    </row>
    <row r="732" spans="4:8" ht="15.75" customHeight="1">
      <c r="D732" s="4"/>
      <c r="H732" s="4"/>
    </row>
    <row r="733" spans="4:8" ht="15.75" customHeight="1">
      <c r="D733" s="4"/>
      <c r="H733" s="4"/>
    </row>
    <row r="734" spans="4:8" ht="15.75" customHeight="1">
      <c r="D734" s="4"/>
      <c r="H734" s="4"/>
    </row>
    <row r="735" spans="4:8" ht="15.75" customHeight="1">
      <c r="D735" s="4"/>
      <c r="H735" s="4"/>
    </row>
    <row r="736" spans="4:8" ht="15.75" customHeight="1">
      <c r="D736" s="4"/>
      <c r="H736" s="4"/>
    </row>
    <row r="737" spans="4:8" ht="15.75" customHeight="1">
      <c r="D737" s="4"/>
      <c r="H737" s="4"/>
    </row>
    <row r="738" spans="4:8" ht="15.75" customHeight="1">
      <c r="D738" s="4"/>
      <c r="H738" s="4"/>
    </row>
    <row r="739" spans="4:8" ht="15.75" customHeight="1">
      <c r="D739" s="4"/>
      <c r="H739" s="4"/>
    </row>
    <row r="740" spans="4:8" ht="15.75" customHeight="1">
      <c r="D740" s="4"/>
      <c r="H740" s="4"/>
    </row>
    <row r="741" spans="4:8" ht="15.75" customHeight="1">
      <c r="D741" s="4"/>
      <c r="H741" s="4"/>
    </row>
    <row r="742" spans="4:8" ht="15.75" customHeight="1">
      <c r="D742" s="4"/>
      <c r="H742" s="4"/>
    </row>
    <row r="743" spans="4:8" ht="15.75" customHeight="1">
      <c r="D743" s="4"/>
      <c r="H743" s="4"/>
    </row>
    <row r="744" spans="4:8" ht="15.75" customHeight="1">
      <c r="D744" s="4"/>
      <c r="H744" s="4"/>
    </row>
    <row r="745" spans="4:8" ht="15.75" customHeight="1">
      <c r="D745" s="4"/>
      <c r="H745" s="4"/>
    </row>
    <row r="746" spans="4:8" ht="15.75" customHeight="1">
      <c r="D746" s="4"/>
      <c r="H746" s="4"/>
    </row>
    <row r="747" spans="4:8" ht="15.75" customHeight="1">
      <c r="D747" s="4"/>
      <c r="H747" s="4"/>
    </row>
    <row r="748" spans="4:8" ht="15.75" customHeight="1">
      <c r="D748" s="4"/>
      <c r="H748" s="4"/>
    </row>
    <row r="749" spans="4:8" ht="15.75" customHeight="1">
      <c r="D749" s="4"/>
      <c r="H749" s="4"/>
    </row>
    <row r="750" spans="4:8" ht="15.75" customHeight="1">
      <c r="D750" s="4"/>
      <c r="H750" s="4"/>
    </row>
    <row r="751" spans="4:8" ht="15.75" customHeight="1">
      <c r="D751" s="4"/>
      <c r="H751" s="4"/>
    </row>
    <row r="752" spans="4:8" ht="15.75" customHeight="1">
      <c r="D752" s="4"/>
      <c r="H752" s="4"/>
    </row>
    <row r="753" spans="4:8" ht="15.75" customHeight="1">
      <c r="D753" s="4"/>
      <c r="H753" s="4"/>
    </row>
    <row r="754" spans="4:8" ht="15.75" customHeight="1">
      <c r="D754" s="4"/>
      <c r="H754" s="4"/>
    </row>
    <row r="755" spans="4:8" ht="15.75" customHeight="1">
      <c r="D755" s="4"/>
      <c r="H755" s="4"/>
    </row>
    <row r="756" spans="4:8" ht="15.75" customHeight="1">
      <c r="D756" s="4"/>
      <c r="H756" s="4"/>
    </row>
    <row r="757" spans="4:8" ht="15.75" customHeight="1">
      <c r="D757" s="4"/>
      <c r="H757" s="4"/>
    </row>
    <row r="758" spans="4:8" ht="15.75" customHeight="1">
      <c r="D758" s="4"/>
      <c r="H758" s="4"/>
    </row>
    <row r="759" spans="4:8" ht="15.75" customHeight="1">
      <c r="D759" s="4"/>
      <c r="H759" s="4"/>
    </row>
    <row r="760" spans="4:8" ht="15.75" customHeight="1">
      <c r="D760" s="4"/>
      <c r="H760" s="4"/>
    </row>
    <row r="761" spans="4:8" ht="15.75" customHeight="1">
      <c r="D761" s="4"/>
      <c r="H761" s="4"/>
    </row>
    <row r="762" spans="4:8" ht="15.75" customHeight="1">
      <c r="D762" s="4"/>
      <c r="H762" s="4"/>
    </row>
    <row r="763" spans="4:8" ht="15.75" customHeight="1">
      <c r="D763" s="4"/>
      <c r="H763" s="4"/>
    </row>
    <row r="764" spans="4:8" ht="15.75" customHeight="1">
      <c r="D764" s="4"/>
      <c r="H764" s="4"/>
    </row>
    <row r="765" spans="4:8" ht="15.75" customHeight="1">
      <c r="D765" s="4"/>
      <c r="H765" s="4"/>
    </row>
    <row r="766" spans="4:8" ht="15.75" customHeight="1">
      <c r="D766" s="4"/>
      <c r="H766" s="4"/>
    </row>
    <row r="767" spans="4:8" ht="15.75" customHeight="1">
      <c r="D767" s="4"/>
      <c r="H767" s="4"/>
    </row>
    <row r="768" spans="4:8" ht="15.75" customHeight="1">
      <c r="D768" s="4"/>
      <c r="H768" s="4"/>
    </row>
    <row r="769" spans="4:8" ht="15.75" customHeight="1">
      <c r="D769" s="4"/>
      <c r="H769" s="4"/>
    </row>
    <row r="770" spans="4:8" ht="15.75" customHeight="1">
      <c r="D770" s="4"/>
      <c r="H770" s="4"/>
    </row>
    <row r="771" spans="4:8" ht="15.75" customHeight="1">
      <c r="D771" s="4"/>
      <c r="H771" s="4"/>
    </row>
    <row r="772" spans="4:8" ht="15.75" customHeight="1">
      <c r="D772" s="4"/>
      <c r="H772" s="4"/>
    </row>
    <row r="773" spans="4:8" ht="15.75" customHeight="1">
      <c r="D773" s="4"/>
      <c r="H773" s="4"/>
    </row>
    <row r="774" spans="4:8" ht="15.75" customHeight="1">
      <c r="D774" s="4"/>
      <c r="H774" s="4"/>
    </row>
    <row r="775" spans="4:8" ht="15.75" customHeight="1">
      <c r="D775" s="4"/>
      <c r="H775" s="4"/>
    </row>
    <row r="776" spans="4:8" ht="15.75" customHeight="1">
      <c r="D776" s="4"/>
      <c r="H776" s="4"/>
    </row>
    <row r="777" spans="4:8" ht="15.75" customHeight="1">
      <c r="D777" s="4"/>
      <c r="H777" s="4"/>
    </row>
    <row r="778" spans="4:8" ht="15.75" customHeight="1">
      <c r="D778" s="4"/>
      <c r="H778" s="4"/>
    </row>
    <row r="779" spans="4:8" ht="15.75" customHeight="1">
      <c r="D779" s="4"/>
      <c r="H779" s="4"/>
    </row>
    <row r="780" spans="4:8" ht="15.75" customHeight="1">
      <c r="D780" s="4"/>
      <c r="H780" s="4"/>
    </row>
    <row r="781" spans="4:8" ht="15.75" customHeight="1">
      <c r="D781" s="4"/>
      <c r="H781" s="4"/>
    </row>
    <row r="782" spans="4:8" ht="15.75" customHeight="1">
      <c r="D782" s="4"/>
      <c r="H782" s="4"/>
    </row>
    <row r="783" spans="4:8" ht="15.75" customHeight="1">
      <c r="D783" s="4"/>
      <c r="H783" s="4"/>
    </row>
    <row r="784" spans="4:8" ht="15.75" customHeight="1">
      <c r="D784" s="4"/>
      <c r="H784" s="4"/>
    </row>
    <row r="785" spans="4:8" ht="15.75" customHeight="1">
      <c r="D785" s="4"/>
      <c r="H785" s="4"/>
    </row>
    <row r="786" spans="4:8" ht="15.75" customHeight="1">
      <c r="D786" s="4"/>
      <c r="H786" s="4"/>
    </row>
    <row r="787" spans="4:8" ht="15.75" customHeight="1">
      <c r="D787" s="4"/>
      <c r="H787" s="4"/>
    </row>
    <row r="788" spans="4:8" ht="15.75" customHeight="1">
      <c r="D788" s="4"/>
      <c r="H788" s="4"/>
    </row>
    <row r="789" spans="4:8" ht="15.75" customHeight="1">
      <c r="D789" s="4"/>
      <c r="H789" s="4"/>
    </row>
    <row r="790" spans="4:8" ht="15.75" customHeight="1">
      <c r="D790" s="4"/>
      <c r="H790" s="4"/>
    </row>
    <row r="791" spans="4:8" ht="15.75" customHeight="1">
      <c r="D791" s="4"/>
      <c r="H791" s="4"/>
    </row>
    <row r="792" spans="4:8" ht="15.75" customHeight="1">
      <c r="D792" s="4"/>
      <c r="H792" s="4"/>
    </row>
    <row r="793" spans="4:8" ht="15.75" customHeight="1">
      <c r="D793" s="4"/>
      <c r="H793" s="4"/>
    </row>
    <row r="794" spans="4:8" ht="15.75" customHeight="1">
      <c r="D794" s="4"/>
      <c r="H794" s="4"/>
    </row>
    <row r="795" spans="4:8" ht="15.75" customHeight="1">
      <c r="D795" s="4"/>
      <c r="H795" s="4"/>
    </row>
    <row r="796" spans="4:8" ht="15.75" customHeight="1">
      <c r="D796" s="4"/>
      <c r="H796" s="4"/>
    </row>
    <row r="797" spans="4:8" ht="15.75" customHeight="1">
      <c r="D797" s="4"/>
      <c r="H797" s="4"/>
    </row>
    <row r="798" spans="4:8" ht="15.75" customHeight="1">
      <c r="D798" s="4"/>
      <c r="H798" s="4"/>
    </row>
    <row r="799" spans="4:8" ht="15.75" customHeight="1">
      <c r="D799" s="4"/>
      <c r="H799" s="4"/>
    </row>
    <row r="800" spans="4:8" ht="15.75" customHeight="1">
      <c r="D800" s="4"/>
      <c r="H800" s="4"/>
    </row>
    <row r="801" spans="4:8" ht="15.75" customHeight="1">
      <c r="D801" s="4"/>
      <c r="H801" s="4"/>
    </row>
    <row r="802" spans="4:8" ht="15.75" customHeight="1">
      <c r="D802" s="4"/>
      <c r="H802" s="4"/>
    </row>
    <row r="803" spans="4:8" ht="15.75" customHeight="1">
      <c r="D803" s="4"/>
      <c r="H803" s="4"/>
    </row>
    <row r="804" spans="4:8" ht="15.75" customHeight="1">
      <c r="D804" s="4"/>
      <c r="H804" s="4"/>
    </row>
    <row r="805" spans="4:8" ht="15.75" customHeight="1">
      <c r="D805" s="4"/>
      <c r="H805" s="4"/>
    </row>
    <row r="806" spans="4:8" ht="15.75" customHeight="1">
      <c r="D806" s="4"/>
      <c r="H806" s="4"/>
    </row>
    <row r="807" spans="4:8" ht="15.75" customHeight="1">
      <c r="D807" s="4"/>
      <c r="H807" s="4"/>
    </row>
    <row r="808" spans="4:8" ht="15.75" customHeight="1">
      <c r="D808" s="4"/>
      <c r="H808" s="4"/>
    </row>
    <row r="809" spans="4:8" ht="15.75" customHeight="1">
      <c r="D809" s="4"/>
      <c r="H809" s="4"/>
    </row>
    <row r="810" spans="4:8" ht="15.75" customHeight="1">
      <c r="D810" s="4"/>
      <c r="H810" s="4"/>
    </row>
    <row r="811" spans="4:8" ht="15.75" customHeight="1">
      <c r="D811" s="4"/>
      <c r="H811" s="4"/>
    </row>
    <row r="812" spans="4:8" ht="15.75" customHeight="1">
      <c r="D812" s="4"/>
      <c r="H812" s="4"/>
    </row>
    <row r="813" spans="4:8" ht="15.75" customHeight="1">
      <c r="D813" s="4"/>
      <c r="H813" s="4"/>
    </row>
    <row r="814" spans="4:8" ht="15.75" customHeight="1">
      <c r="D814" s="4"/>
      <c r="H814" s="4"/>
    </row>
    <row r="815" spans="4:8" ht="15.75" customHeight="1">
      <c r="D815" s="4"/>
      <c r="H815" s="4"/>
    </row>
    <row r="816" spans="4:8" ht="15.75" customHeight="1">
      <c r="D816" s="4"/>
      <c r="H816" s="4"/>
    </row>
    <row r="817" spans="4:8" ht="15.75" customHeight="1">
      <c r="D817" s="4"/>
      <c r="H817" s="4"/>
    </row>
    <row r="818" spans="4:8" ht="15.75" customHeight="1">
      <c r="D818" s="4"/>
      <c r="H818" s="4"/>
    </row>
    <row r="819" spans="4:8" ht="15.75" customHeight="1">
      <c r="D819" s="4"/>
      <c r="H819" s="4"/>
    </row>
    <row r="820" spans="4:8" ht="15.75" customHeight="1">
      <c r="D820" s="4"/>
      <c r="H820" s="4"/>
    </row>
    <row r="821" spans="4:8" ht="15.75" customHeight="1">
      <c r="D821" s="4"/>
      <c r="H821" s="4"/>
    </row>
    <row r="822" spans="4:8" ht="15.75" customHeight="1">
      <c r="D822" s="4"/>
      <c r="H822" s="4"/>
    </row>
    <row r="823" spans="4:8" ht="15.75" customHeight="1">
      <c r="D823" s="4"/>
      <c r="H823" s="4"/>
    </row>
    <row r="824" spans="4:8" ht="15.75" customHeight="1">
      <c r="D824" s="4"/>
      <c r="H824" s="4"/>
    </row>
    <row r="825" spans="4:8" ht="15.75" customHeight="1">
      <c r="D825" s="4"/>
      <c r="H825" s="4"/>
    </row>
    <row r="826" spans="4:8" ht="15.75" customHeight="1">
      <c r="D826" s="4"/>
      <c r="H826" s="4"/>
    </row>
    <row r="827" spans="4:8" ht="15.75" customHeight="1">
      <c r="D827" s="4"/>
      <c r="H827" s="4"/>
    </row>
    <row r="828" spans="4:8" ht="15.75" customHeight="1">
      <c r="D828" s="4"/>
      <c r="H828" s="4"/>
    </row>
    <row r="829" spans="4:8" ht="15.75" customHeight="1">
      <c r="D829" s="4"/>
      <c r="H829" s="4"/>
    </row>
    <row r="830" spans="4:8" ht="15.75" customHeight="1">
      <c r="D830" s="4"/>
      <c r="H830" s="4"/>
    </row>
    <row r="831" spans="4:8" ht="15.75" customHeight="1">
      <c r="D831" s="4"/>
      <c r="H831" s="4"/>
    </row>
    <row r="832" spans="4:8" ht="15.75" customHeight="1">
      <c r="D832" s="4"/>
      <c r="H832" s="4"/>
    </row>
    <row r="833" spans="4:8" ht="15.75" customHeight="1">
      <c r="D833" s="4"/>
      <c r="H833" s="4"/>
    </row>
    <row r="834" spans="4:8" ht="15.75" customHeight="1">
      <c r="D834" s="4"/>
      <c r="H834" s="4"/>
    </row>
    <row r="835" spans="4:8" ht="15.75" customHeight="1">
      <c r="D835" s="4"/>
      <c r="H835" s="4"/>
    </row>
    <row r="836" spans="4:8" ht="15.75" customHeight="1">
      <c r="D836" s="4"/>
      <c r="H836" s="4"/>
    </row>
    <row r="837" spans="4:8" ht="15.75" customHeight="1">
      <c r="D837" s="4"/>
      <c r="H837" s="4"/>
    </row>
    <row r="838" spans="4:8" ht="15.75" customHeight="1">
      <c r="D838" s="4"/>
      <c r="H838" s="4"/>
    </row>
    <row r="839" spans="4:8" ht="15.75" customHeight="1">
      <c r="D839" s="4"/>
      <c r="H839" s="4"/>
    </row>
    <row r="840" spans="4:8" ht="15.75" customHeight="1">
      <c r="D840" s="4"/>
      <c r="H840" s="4"/>
    </row>
    <row r="841" spans="4:8" ht="15.75" customHeight="1">
      <c r="D841" s="4"/>
      <c r="H841" s="4"/>
    </row>
    <row r="842" spans="4:8" ht="15.75" customHeight="1">
      <c r="D842" s="4"/>
      <c r="H842" s="4"/>
    </row>
    <row r="843" spans="4:8" ht="15.75" customHeight="1">
      <c r="D843" s="4"/>
      <c r="H843" s="4"/>
    </row>
    <row r="844" spans="4:8" ht="15.75" customHeight="1">
      <c r="D844" s="4"/>
      <c r="H844" s="4"/>
    </row>
    <row r="845" spans="4:8" ht="15.75" customHeight="1">
      <c r="D845" s="4"/>
      <c r="H845" s="4"/>
    </row>
    <row r="846" spans="4:8" ht="15.75" customHeight="1">
      <c r="D846" s="4"/>
      <c r="H846" s="4"/>
    </row>
    <row r="847" spans="4:8" ht="15.75" customHeight="1">
      <c r="D847" s="4"/>
      <c r="H847" s="4"/>
    </row>
    <row r="848" spans="4:8" ht="15.75" customHeight="1">
      <c r="D848" s="4"/>
      <c r="H848" s="4"/>
    </row>
    <row r="849" spans="4:8" ht="15.75" customHeight="1">
      <c r="D849" s="4"/>
      <c r="H849" s="4"/>
    </row>
    <row r="850" spans="4:8" ht="15.75" customHeight="1">
      <c r="D850" s="4"/>
      <c r="H850" s="4"/>
    </row>
    <row r="851" spans="4:8" ht="15.75" customHeight="1">
      <c r="D851" s="4"/>
      <c r="H851" s="4"/>
    </row>
    <row r="852" spans="4:8" ht="15.75" customHeight="1">
      <c r="D852" s="4"/>
      <c r="H852" s="4"/>
    </row>
    <row r="853" spans="4:8" ht="15.75" customHeight="1">
      <c r="D853" s="4"/>
      <c r="H853" s="4"/>
    </row>
    <row r="854" spans="4:8" ht="15.75" customHeight="1">
      <c r="D854" s="4"/>
      <c r="H854" s="4"/>
    </row>
    <row r="855" spans="4:8" ht="15.75" customHeight="1">
      <c r="D855" s="4"/>
      <c r="H855" s="4"/>
    </row>
    <row r="856" spans="4:8" ht="15.75" customHeight="1">
      <c r="D856" s="4"/>
      <c r="H856" s="4"/>
    </row>
    <row r="857" spans="4:8" ht="15.75" customHeight="1">
      <c r="D857" s="4"/>
      <c r="H857" s="4"/>
    </row>
    <row r="858" spans="4:8" ht="15.75" customHeight="1">
      <c r="D858" s="4"/>
      <c r="H858" s="4"/>
    </row>
    <row r="859" spans="4:8" ht="15.75" customHeight="1">
      <c r="D859" s="4"/>
      <c r="H859" s="4"/>
    </row>
    <row r="860" spans="4:8" ht="15.75" customHeight="1">
      <c r="D860" s="4"/>
      <c r="H860" s="4"/>
    </row>
    <row r="861" spans="4:8" ht="15.75" customHeight="1">
      <c r="D861" s="4"/>
      <c r="H861" s="4"/>
    </row>
    <row r="862" spans="4:8" ht="15.75" customHeight="1">
      <c r="D862" s="4"/>
      <c r="H862" s="4"/>
    </row>
    <row r="863" spans="4:8" ht="15.75" customHeight="1">
      <c r="D863" s="4"/>
      <c r="H863" s="4"/>
    </row>
    <row r="864" spans="4:8" ht="15.75" customHeight="1">
      <c r="D864" s="4"/>
      <c r="H864" s="4"/>
    </row>
    <row r="865" spans="4:8" ht="15.75" customHeight="1">
      <c r="D865" s="4"/>
      <c r="H865" s="4"/>
    </row>
    <row r="866" spans="4:8" ht="15.75" customHeight="1">
      <c r="D866" s="4"/>
      <c r="H866" s="4"/>
    </row>
    <row r="867" spans="4:8" ht="15.75" customHeight="1">
      <c r="D867" s="4"/>
      <c r="H867" s="4"/>
    </row>
    <row r="868" spans="4:8" ht="15.75" customHeight="1">
      <c r="D868" s="4"/>
      <c r="H868" s="4"/>
    </row>
    <row r="869" spans="4:8" ht="15.75" customHeight="1">
      <c r="D869" s="4"/>
      <c r="H869" s="4"/>
    </row>
    <row r="870" spans="4:8" ht="15.75" customHeight="1">
      <c r="D870" s="4"/>
      <c r="H870" s="4"/>
    </row>
    <row r="871" spans="4:8" ht="15.75" customHeight="1">
      <c r="D871" s="4"/>
      <c r="H871" s="4"/>
    </row>
    <row r="872" spans="4:8" ht="15.75" customHeight="1">
      <c r="D872" s="4"/>
      <c r="H872" s="4"/>
    </row>
    <row r="873" spans="4:8" ht="15.75" customHeight="1">
      <c r="D873" s="4"/>
      <c r="H873" s="4"/>
    </row>
    <row r="874" spans="4:8" ht="15.75" customHeight="1">
      <c r="D874" s="4"/>
      <c r="H874" s="4"/>
    </row>
    <row r="875" spans="4:8" ht="15.75" customHeight="1">
      <c r="D875" s="4"/>
      <c r="H875" s="4"/>
    </row>
    <row r="876" spans="4:8" ht="15.75" customHeight="1">
      <c r="D876" s="4"/>
      <c r="H876" s="4"/>
    </row>
    <row r="877" spans="4:8" ht="15.75" customHeight="1">
      <c r="D877" s="4"/>
      <c r="H877" s="4"/>
    </row>
    <row r="878" spans="4:8" ht="15.75" customHeight="1">
      <c r="D878" s="4"/>
      <c r="H878" s="4"/>
    </row>
    <row r="879" spans="4:8" ht="15.75" customHeight="1">
      <c r="D879" s="4"/>
      <c r="H879" s="4"/>
    </row>
    <row r="880" spans="4:8" ht="15.75" customHeight="1">
      <c r="D880" s="4"/>
      <c r="H880" s="4"/>
    </row>
    <row r="881" spans="4:8" ht="15.75" customHeight="1">
      <c r="D881" s="4"/>
      <c r="H881" s="4"/>
    </row>
    <row r="882" spans="4:8" ht="15.75" customHeight="1">
      <c r="D882" s="4"/>
      <c r="H882" s="4"/>
    </row>
    <row r="883" spans="4:8" ht="15.75" customHeight="1">
      <c r="D883" s="4"/>
      <c r="H883" s="4"/>
    </row>
    <row r="884" spans="4:8" ht="15.75" customHeight="1">
      <c r="D884" s="4"/>
      <c r="H884" s="4"/>
    </row>
    <row r="885" spans="4:8" ht="15.75" customHeight="1">
      <c r="D885" s="4"/>
      <c r="H885" s="4"/>
    </row>
    <row r="886" spans="4:8" ht="15.75" customHeight="1">
      <c r="D886" s="4"/>
      <c r="H886" s="4"/>
    </row>
    <row r="887" spans="4:8" ht="15.75" customHeight="1">
      <c r="D887" s="4"/>
      <c r="H887" s="4"/>
    </row>
    <row r="888" spans="4:8" ht="15.75" customHeight="1">
      <c r="D888" s="4"/>
      <c r="H888" s="4"/>
    </row>
    <row r="889" spans="4:8" ht="15.75" customHeight="1">
      <c r="D889" s="4"/>
      <c r="H889" s="4"/>
    </row>
    <row r="890" spans="4:8" ht="15.75" customHeight="1">
      <c r="D890" s="4"/>
      <c r="H890" s="4"/>
    </row>
    <row r="891" spans="4:8" ht="15.75" customHeight="1">
      <c r="D891" s="4"/>
      <c r="H891" s="4"/>
    </row>
    <row r="892" spans="4:8" ht="15.75" customHeight="1">
      <c r="D892" s="4"/>
      <c r="H892" s="4"/>
    </row>
    <row r="893" spans="4:8" ht="15.75" customHeight="1">
      <c r="D893" s="4"/>
      <c r="H893" s="4"/>
    </row>
    <row r="894" spans="4:8" ht="15.75" customHeight="1">
      <c r="D894" s="4"/>
      <c r="H894" s="4"/>
    </row>
    <row r="895" spans="4:8" ht="15.75" customHeight="1">
      <c r="D895" s="4"/>
      <c r="H895" s="4"/>
    </row>
    <row r="896" spans="4:8" ht="15.75" customHeight="1">
      <c r="D896" s="4"/>
      <c r="H896" s="4"/>
    </row>
    <row r="897" spans="4:8" ht="15.75" customHeight="1">
      <c r="D897" s="4"/>
      <c r="H897" s="4"/>
    </row>
    <row r="898" spans="4:8" ht="15.75" customHeight="1">
      <c r="D898" s="4"/>
      <c r="H898" s="4"/>
    </row>
    <row r="899" spans="4:8" ht="15.75" customHeight="1">
      <c r="D899" s="4"/>
      <c r="H899" s="4"/>
    </row>
    <row r="900" spans="4:8" ht="15.75" customHeight="1">
      <c r="D900" s="4"/>
      <c r="H900" s="4"/>
    </row>
    <row r="901" spans="4:8" ht="15.75" customHeight="1">
      <c r="D901" s="4"/>
      <c r="H901" s="4"/>
    </row>
    <row r="902" spans="4:8" ht="15.75" customHeight="1">
      <c r="D902" s="4"/>
      <c r="H902" s="4"/>
    </row>
    <row r="903" spans="4:8" ht="15.75" customHeight="1">
      <c r="D903" s="4"/>
      <c r="H903" s="4"/>
    </row>
    <row r="904" spans="4:8" ht="15.75" customHeight="1">
      <c r="D904" s="4"/>
      <c r="H904" s="4"/>
    </row>
    <row r="905" spans="4:8" ht="15.75" customHeight="1">
      <c r="D905" s="4"/>
      <c r="H905" s="4"/>
    </row>
    <row r="906" spans="4:8" ht="15.75" customHeight="1">
      <c r="D906" s="4"/>
      <c r="H906" s="4"/>
    </row>
    <row r="907" spans="4:8" ht="15.75" customHeight="1">
      <c r="D907" s="4"/>
      <c r="H907" s="4"/>
    </row>
    <row r="908" spans="4:8" ht="15.75" customHeight="1">
      <c r="D908" s="4"/>
      <c r="H908" s="4"/>
    </row>
    <row r="909" spans="4:8" ht="15.75" customHeight="1">
      <c r="D909" s="4"/>
      <c r="H909" s="4"/>
    </row>
    <row r="910" spans="4:8" ht="15.75" customHeight="1">
      <c r="D910" s="4"/>
      <c r="H910" s="4"/>
    </row>
    <row r="911" spans="4:8" ht="15.75" customHeight="1">
      <c r="D911" s="4"/>
      <c r="H911" s="4"/>
    </row>
    <row r="912" spans="4:8" ht="15.75" customHeight="1">
      <c r="D912" s="4"/>
      <c r="H912" s="4"/>
    </row>
    <row r="913" spans="4:8" ht="15.75" customHeight="1">
      <c r="D913" s="4"/>
      <c r="H913" s="4"/>
    </row>
    <row r="914" spans="4:8" ht="15.75" customHeight="1">
      <c r="D914" s="4"/>
      <c r="H914" s="4"/>
    </row>
    <row r="915" spans="4:8" ht="15.75" customHeight="1">
      <c r="D915" s="4"/>
      <c r="H915" s="4"/>
    </row>
    <row r="916" spans="4:8" ht="15.75" customHeight="1">
      <c r="D916" s="4"/>
      <c r="H916" s="4"/>
    </row>
    <row r="917" spans="4:8" ht="15.75" customHeight="1">
      <c r="D917" s="4"/>
      <c r="H917" s="4"/>
    </row>
    <row r="918" spans="4:8" ht="15.75" customHeight="1">
      <c r="D918" s="4"/>
      <c r="H918" s="4"/>
    </row>
    <row r="919" spans="4:8" ht="15.75" customHeight="1">
      <c r="D919" s="4"/>
      <c r="H919" s="4"/>
    </row>
    <row r="920" spans="4:8" ht="15.75" customHeight="1">
      <c r="D920" s="4"/>
      <c r="H920" s="4"/>
    </row>
    <row r="921" spans="4:8" ht="15.75" customHeight="1">
      <c r="D921" s="4"/>
      <c r="H921" s="4"/>
    </row>
    <row r="922" spans="4:8" ht="15.75" customHeight="1">
      <c r="D922" s="4"/>
      <c r="H922" s="4"/>
    </row>
    <row r="923" spans="4:8" ht="15.75" customHeight="1">
      <c r="D923" s="4"/>
      <c r="H923" s="4"/>
    </row>
    <row r="924" spans="4:8" ht="15.75" customHeight="1">
      <c r="D924" s="4"/>
      <c r="H924" s="4"/>
    </row>
    <row r="925" spans="4:8" ht="15.75" customHeight="1">
      <c r="D925" s="4"/>
      <c r="H925" s="4"/>
    </row>
    <row r="926" spans="4:8" ht="15.75" customHeight="1">
      <c r="D926" s="4"/>
      <c r="H926" s="4"/>
    </row>
    <row r="927" spans="4:8" ht="15.75" customHeight="1">
      <c r="D927" s="4"/>
      <c r="H927" s="4"/>
    </row>
    <row r="928" spans="4:8" ht="15.75" customHeight="1">
      <c r="D928" s="4"/>
      <c r="H928" s="4"/>
    </row>
    <row r="929" spans="4:8" ht="15.75" customHeight="1">
      <c r="D929" s="4"/>
      <c r="H929" s="4"/>
    </row>
    <row r="930" spans="4:8" ht="15.75" customHeight="1">
      <c r="D930" s="4"/>
      <c r="H930" s="4"/>
    </row>
    <row r="931" spans="4:8" ht="15.75" customHeight="1">
      <c r="D931" s="4"/>
      <c r="H931" s="4"/>
    </row>
    <row r="932" spans="4:8" ht="15.75" customHeight="1">
      <c r="D932" s="4"/>
      <c r="H932" s="4"/>
    </row>
    <row r="933" spans="4:8" ht="15.75" customHeight="1">
      <c r="D933" s="4"/>
      <c r="H933" s="4"/>
    </row>
    <row r="934" spans="4:8" ht="15.75" customHeight="1">
      <c r="D934" s="4"/>
      <c r="H934" s="4"/>
    </row>
    <row r="935" spans="4:8" ht="15.75" customHeight="1">
      <c r="D935" s="4"/>
      <c r="H935" s="4"/>
    </row>
    <row r="936" spans="4:8" ht="15.75" customHeight="1">
      <c r="D936" s="4"/>
      <c r="H936" s="4"/>
    </row>
    <row r="937" spans="4:8" ht="15.75" customHeight="1">
      <c r="D937" s="4"/>
      <c r="H937" s="4"/>
    </row>
    <row r="938" spans="4:8" ht="15.75" customHeight="1">
      <c r="D938" s="4"/>
      <c r="H938" s="4"/>
    </row>
    <row r="939" spans="4:8" ht="15.75" customHeight="1">
      <c r="D939" s="4"/>
      <c r="H939" s="4"/>
    </row>
    <row r="940" spans="4:8" ht="15.75" customHeight="1">
      <c r="D940" s="4"/>
      <c r="H940" s="4"/>
    </row>
    <row r="941" spans="4:8" ht="15.75" customHeight="1">
      <c r="D941" s="4"/>
      <c r="H941" s="4"/>
    </row>
    <row r="942" spans="4:8" ht="15.75" customHeight="1">
      <c r="D942" s="4"/>
      <c r="H942" s="4"/>
    </row>
    <row r="943" spans="4:8" ht="15.75" customHeight="1">
      <c r="D943" s="4"/>
      <c r="H943" s="4"/>
    </row>
    <row r="944" spans="4:8" ht="15.75" customHeight="1">
      <c r="D944" s="4"/>
      <c r="H944" s="4"/>
    </row>
    <row r="945" spans="4:8" ht="15.75" customHeight="1">
      <c r="D945" s="4"/>
      <c r="H945" s="4"/>
    </row>
    <row r="946" spans="4:8" ht="15.75" customHeight="1">
      <c r="D946" s="4"/>
      <c r="H946" s="4"/>
    </row>
    <row r="947" spans="4:8" ht="15.75" customHeight="1">
      <c r="D947" s="4"/>
      <c r="H947" s="4"/>
    </row>
    <row r="948" spans="4:8" ht="15.75" customHeight="1">
      <c r="D948" s="4"/>
      <c r="H948" s="4"/>
    </row>
    <row r="949" spans="4:8" ht="15.75" customHeight="1">
      <c r="D949" s="4"/>
      <c r="H949" s="4"/>
    </row>
    <row r="950" spans="4:8" ht="15.75" customHeight="1">
      <c r="D950" s="4"/>
      <c r="H950" s="4"/>
    </row>
    <row r="951" spans="4:8" ht="15.75" customHeight="1">
      <c r="D951" s="4"/>
      <c r="H951" s="4"/>
    </row>
    <row r="952" spans="4:8" ht="15.75" customHeight="1">
      <c r="D952" s="4"/>
      <c r="H952" s="4"/>
    </row>
    <row r="953" spans="4:8" ht="15.75" customHeight="1">
      <c r="D953" s="4"/>
      <c r="H953" s="4"/>
    </row>
    <row r="954" spans="4:8" ht="15.75" customHeight="1">
      <c r="D954" s="4"/>
      <c r="H954" s="4"/>
    </row>
    <row r="955" spans="4:8" ht="15.75" customHeight="1">
      <c r="D955" s="4"/>
      <c r="H955" s="4"/>
    </row>
    <row r="956" spans="4:8" ht="15.75" customHeight="1">
      <c r="D956" s="4"/>
      <c r="H956" s="4"/>
    </row>
    <row r="957" spans="4:8" ht="15.75" customHeight="1">
      <c r="D957" s="4"/>
      <c r="H957" s="4"/>
    </row>
    <row r="958" spans="4:8" ht="15.75" customHeight="1">
      <c r="D958" s="4"/>
      <c r="H958" s="4"/>
    </row>
    <row r="959" spans="4:8" ht="15.75" customHeight="1">
      <c r="D959" s="4"/>
      <c r="H959" s="4"/>
    </row>
    <row r="960" spans="4:8" ht="15.75" customHeight="1">
      <c r="D960" s="4"/>
      <c r="H960" s="4"/>
    </row>
    <row r="961" spans="4:8" ht="15.75" customHeight="1">
      <c r="D961" s="4"/>
      <c r="H961" s="4"/>
    </row>
    <row r="962" spans="4:8" ht="15.75" customHeight="1">
      <c r="D962" s="4"/>
      <c r="H962" s="4"/>
    </row>
    <row r="963" spans="4:8" ht="15.75" customHeight="1">
      <c r="D963" s="4"/>
      <c r="H963" s="4"/>
    </row>
    <row r="964" spans="4:8" ht="15.75" customHeight="1">
      <c r="D964" s="4"/>
      <c r="H964" s="4"/>
    </row>
    <row r="965" spans="4:8" ht="15.75" customHeight="1">
      <c r="D965" s="4"/>
      <c r="H965" s="4"/>
    </row>
    <row r="966" spans="4:8" ht="15.75" customHeight="1">
      <c r="D966" s="4"/>
      <c r="H966" s="4"/>
    </row>
    <row r="967" spans="4:8" ht="15.75" customHeight="1">
      <c r="D967" s="4"/>
      <c r="H967" s="4"/>
    </row>
    <row r="968" spans="4:8" ht="15.75" customHeight="1">
      <c r="D968" s="4"/>
      <c r="H968" s="4"/>
    </row>
    <row r="969" spans="4:8" ht="15.75" customHeight="1">
      <c r="D969" s="4"/>
      <c r="H969" s="4"/>
    </row>
    <row r="970" spans="4:8" ht="15.75" customHeight="1">
      <c r="D970" s="4"/>
      <c r="H970" s="4"/>
    </row>
    <row r="971" spans="4:8" ht="15.75" customHeight="1">
      <c r="D971" s="4"/>
      <c r="H971" s="4"/>
    </row>
    <row r="972" spans="4:8" ht="15.75" customHeight="1">
      <c r="D972" s="4"/>
      <c r="H972" s="4"/>
    </row>
    <row r="973" spans="4:8" ht="15.75" customHeight="1">
      <c r="D973" s="4"/>
      <c r="H973" s="4"/>
    </row>
    <row r="974" spans="4:8" ht="15.75" customHeight="1">
      <c r="D974" s="4"/>
      <c r="H974" s="4"/>
    </row>
    <row r="975" spans="4:8" ht="15.75" customHeight="1">
      <c r="D975" s="4"/>
      <c r="H975" s="4"/>
    </row>
    <row r="976" spans="4:8" ht="15.75" customHeight="1">
      <c r="D976" s="4"/>
      <c r="H976" s="4"/>
    </row>
    <row r="977" spans="4:8" ht="15.75" customHeight="1">
      <c r="D977" s="4"/>
      <c r="H977" s="4"/>
    </row>
    <row r="978" spans="4:8" ht="15.75" customHeight="1">
      <c r="D978" s="4"/>
      <c r="H978" s="4"/>
    </row>
    <row r="979" spans="4:8" ht="15.75" customHeight="1">
      <c r="D979" s="4"/>
      <c r="H979" s="4"/>
    </row>
    <row r="980" spans="4:8" ht="15.75" customHeight="1">
      <c r="D980" s="4"/>
      <c r="H980" s="4"/>
    </row>
    <row r="981" spans="4:8" ht="15.75" customHeight="1">
      <c r="D981" s="4"/>
      <c r="H981" s="4"/>
    </row>
    <row r="982" spans="4:8" ht="15.75" customHeight="1">
      <c r="D982" s="4"/>
      <c r="H982" s="4"/>
    </row>
    <row r="983" spans="4:8" ht="15.75" customHeight="1">
      <c r="D983" s="4"/>
      <c r="H983" s="4"/>
    </row>
    <row r="984" spans="4:8" ht="15.75" customHeight="1">
      <c r="D984" s="4"/>
      <c r="H984" s="4"/>
    </row>
    <row r="985" spans="4:8" ht="15.75" customHeight="1">
      <c r="D985" s="4"/>
      <c r="H985" s="4"/>
    </row>
    <row r="986" spans="4:8" ht="15.75" customHeight="1">
      <c r="D986" s="4"/>
      <c r="H986" s="4"/>
    </row>
    <row r="987" spans="4:8" ht="15.75" customHeight="1">
      <c r="D987" s="4"/>
      <c r="H987" s="4"/>
    </row>
    <row r="988" spans="4:8" ht="15.75" customHeight="1">
      <c r="D988" s="4"/>
      <c r="H988" s="4"/>
    </row>
    <row r="989" spans="4:8" ht="15.75" customHeight="1">
      <c r="D989" s="4"/>
      <c r="H989" s="4"/>
    </row>
    <row r="990" spans="4:8" ht="15.75" customHeight="1">
      <c r="D990" s="4"/>
      <c r="H990" s="4"/>
    </row>
    <row r="991" spans="4:8" ht="15.75" customHeight="1">
      <c r="D991" s="4"/>
      <c r="H991" s="4"/>
    </row>
    <row r="992" spans="4:8" ht="15.75" customHeight="1">
      <c r="D992" s="4"/>
      <c r="H992" s="4"/>
    </row>
    <row r="993" spans="4:8" ht="15.75" customHeight="1">
      <c r="D993" s="4"/>
      <c r="H993" s="4"/>
    </row>
    <row r="994" spans="4:8" ht="15.75" customHeight="1">
      <c r="D994" s="4"/>
      <c r="H994" s="4"/>
    </row>
    <row r="995" spans="4:8" ht="15.75" customHeight="1">
      <c r="D995" s="4"/>
      <c r="H995" s="4"/>
    </row>
    <row r="996" spans="4:8" ht="15.75" customHeight="1">
      <c r="D996" s="4"/>
      <c r="H996" s="4"/>
    </row>
    <row r="997" spans="4:8" ht="15.75" customHeight="1">
      <c r="D997" s="4"/>
      <c r="H997" s="4"/>
    </row>
    <row r="998" spans="4:8" ht="15.75" customHeight="1">
      <c r="D998" s="4"/>
      <c r="H998" s="4"/>
    </row>
    <row r="999" spans="4:8" ht="15.75" customHeight="1">
      <c r="D999" s="4"/>
      <c r="H999" s="4"/>
    </row>
    <row r="1000" spans="4:8" ht="15.75" customHeight="1">
      <c r="D1000" s="4"/>
      <c r="H1000" s="4"/>
    </row>
  </sheetData>
  <mergeCells count="4">
    <mergeCell ref="D1:E1"/>
    <mergeCell ref="H1:I1"/>
    <mergeCell ref="K2:K10"/>
    <mergeCell ref="K11:K18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From_Display to Inverter</vt:lpstr>
      <vt:lpstr>From-Inverter to Display</vt:lpstr>
      <vt:lpstr>Fault status bits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CHETAN RAJU</cp:lastModifiedBy>
  <dcterms:modified xsi:type="dcterms:W3CDTF">2025-06-26T05:37:58Z</dcterms:modified>
</cp:coreProperties>
</file>